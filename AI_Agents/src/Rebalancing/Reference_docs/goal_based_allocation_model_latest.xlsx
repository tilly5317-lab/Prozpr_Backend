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0" documentId="8_{43BEA20A-303E-4970-AD68-06241DF3441A}" xr6:coauthVersionLast="47" xr6:coauthVersionMax="47" xr10:uidLastSave="{00000000-0000-0000-0000-000000000000}"/>
  <bookViews>
    <workbookView xWindow="0" yWindow="0" windowWidth="0" windowHeight="0" firstSheet="1" activeTab="1" xr2:uid="{00000000-000D-0000-FFFF-FFFF00000000}"/>
  </bookViews>
  <sheets>
    <sheet name="Allocation" sheetId="1" r:id="rId1"/>
    <sheet name="Allocation 2" sheetId="6" r:id="rId2"/>
    <sheet name="Table" sheetId="4" r:id="rId3"/>
    <sheet name="Guardrails" sheetId="10" r:id="rId4"/>
    <sheet name="c" sheetId="7" r:id="rId5"/>
    <sheet name="d" sheetId="8" r:id="rId6"/>
    <sheet name="e" sheetId="9" r:id="rId7"/>
    <sheet name="g" sheetId="11" r:id="rId8"/>
    <sheet name=" " sheetId="2" r:id="rId9"/>
    <sheet name="f" sheetId="3" r:id="rId10"/>
    <sheet name="a" sheetId="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06" i="6" l="1"/>
  <c r="Z305" i="6"/>
  <c r="U305" i="6"/>
  <c r="L305" i="6"/>
  <c r="M305" i="6"/>
  <c r="AH323" i="6"/>
  <c r="W322" i="6"/>
  <c r="L296" i="6"/>
  <c r="W296" i="6" s="1"/>
  <c r="T323" i="6"/>
  <c r="U323" i="6"/>
  <c r="V323" i="6"/>
  <c r="D322" i="6"/>
  <c r="E322" i="6"/>
  <c r="F322" i="6"/>
  <c r="I322" i="6"/>
  <c r="J322" i="6"/>
  <c r="A311" i="6"/>
  <c r="B311" i="6"/>
  <c r="C311" i="6"/>
  <c r="D311" i="6"/>
  <c r="E311" i="6"/>
  <c r="F311" i="6"/>
  <c r="I311" i="6"/>
  <c r="A311" i="1"/>
  <c r="B311" i="1"/>
  <c r="C311" i="1"/>
  <c r="D311" i="1"/>
  <c r="E311" i="1"/>
  <c r="F311" i="1"/>
  <c r="I311" i="1"/>
  <c r="E321" i="6"/>
  <c r="D321" i="6"/>
  <c r="C321" i="6"/>
  <c r="B321" i="6"/>
  <c r="A321" i="6"/>
  <c r="E320" i="6"/>
  <c r="D320" i="6"/>
  <c r="C320" i="6"/>
  <c r="B320" i="6"/>
  <c r="A320" i="6"/>
  <c r="E319" i="6"/>
  <c r="D319" i="6"/>
  <c r="C319" i="6"/>
  <c r="B319" i="6"/>
  <c r="A319" i="6"/>
  <c r="E318" i="6"/>
  <c r="D318" i="6"/>
  <c r="C318" i="6"/>
  <c r="B318" i="6"/>
  <c r="A318" i="6"/>
  <c r="E317" i="6"/>
  <c r="D317" i="6"/>
  <c r="C317" i="6"/>
  <c r="B317" i="6"/>
  <c r="A317" i="6"/>
  <c r="E316" i="6"/>
  <c r="D316" i="6"/>
  <c r="C316" i="6"/>
  <c r="B316" i="6"/>
  <c r="A316" i="6"/>
  <c r="E315" i="6"/>
  <c r="D315" i="6"/>
  <c r="C315" i="6"/>
  <c r="B315" i="6"/>
  <c r="A315" i="6"/>
  <c r="E314" i="6"/>
  <c r="D314" i="6"/>
  <c r="C314" i="6"/>
  <c r="B314" i="6"/>
  <c r="A314" i="6"/>
  <c r="E313" i="6"/>
  <c r="D313" i="6"/>
  <c r="C313" i="6"/>
  <c r="B313" i="6"/>
  <c r="A313" i="6"/>
  <c r="E312" i="6"/>
  <c r="D312" i="6"/>
  <c r="C312" i="6"/>
  <c r="B312" i="6"/>
  <c r="A312" i="6"/>
  <c r="E310" i="6"/>
  <c r="D310" i="6"/>
  <c r="C310" i="6"/>
  <c r="B310" i="6"/>
  <c r="A310" i="6"/>
  <c r="E309" i="6"/>
  <c r="D309" i="6"/>
  <c r="C309" i="6"/>
  <c r="B309" i="6"/>
  <c r="A309" i="6"/>
  <c r="E308" i="6"/>
  <c r="D308" i="6"/>
  <c r="C308" i="6"/>
  <c r="B308" i="6"/>
  <c r="A308" i="6"/>
  <c r="E307" i="6"/>
  <c r="D307" i="6"/>
  <c r="C307" i="6"/>
  <c r="B307" i="6"/>
  <c r="A307" i="6"/>
  <c r="E306" i="6"/>
  <c r="D306" i="6"/>
  <c r="C306" i="6"/>
  <c r="B306" i="6"/>
  <c r="A306" i="6"/>
  <c r="E305" i="6"/>
  <c r="D305" i="6"/>
  <c r="C305" i="6"/>
  <c r="B305" i="6"/>
  <c r="A305" i="6"/>
  <c r="E304" i="6"/>
  <c r="D304" i="6"/>
  <c r="C304" i="6"/>
  <c r="B304" i="6"/>
  <c r="A304" i="6"/>
  <c r="E303" i="6"/>
  <c r="D303" i="6"/>
  <c r="C303" i="6"/>
  <c r="B303" i="6"/>
  <c r="A303" i="6"/>
  <c r="E302" i="6"/>
  <c r="D302" i="6"/>
  <c r="C302" i="6"/>
  <c r="B302" i="6"/>
  <c r="A302" i="6"/>
  <c r="E301" i="6"/>
  <c r="D301" i="6"/>
  <c r="C301" i="6"/>
  <c r="B301" i="6"/>
  <c r="A301" i="6"/>
  <c r="H301" i="6" s="1"/>
  <c r="E300" i="6"/>
  <c r="D300" i="6"/>
  <c r="C300" i="6"/>
  <c r="B300" i="6"/>
  <c r="A300" i="6"/>
  <c r="H300" i="6" s="1"/>
  <c r="E299" i="6"/>
  <c r="D299" i="6"/>
  <c r="C299" i="6"/>
  <c r="B299" i="6"/>
  <c r="A299" i="6"/>
  <c r="H299" i="6" s="1"/>
  <c r="E298" i="6"/>
  <c r="D298" i="6"/>
  <c r="C298" i="6"/>
  <c r="B298" i="6"/>
  <c r="A298" i="6"/>
  <c r="H298" i="6" s="1"/>
  <c r="E297" i="6"/>
  <c r="D297" i="6"/>
  <c r="C297" i="6"/>
  <c r="B297" i="6"/>
  <c r="A297" i="6"/>
  <c r="H297" i="6" s="1"/>
  <c r="E296" i="6"/>
  <c r="D296" i="6"/>
  <c r="C296" i="6"/>
  <c r="B296" i="6"/>
  <c r="A296" i="6"/>
  <c r="H296" i="6" s="1"/>
  <c r="E295" i="6"/>
  <c r="D295" i="6"/>
  <c r="C295" i="6"/>
  <c r="B295" i="6"/>
  <c r="A295" i="6"/>
  <c r="H295" i="6" s="1"/>
  <c r="E294" i="6"/>
  <c r="D294" i="6"/>
  <c r="C294" i="6"/>
  <c r="B294" i="6"/>
  <c r="A294" i="6"/>
  <c r="H294" i="6" s="1"/>
  <c r="E293" i="6"/>
  <c r="D293" i="6"/>
  <c r="C293" i="6"/>
  <c r="B293" i="6"/>
  <c r="A293" i="6"/>
  <c r="H293" i="6" s="1"/>
  <c r="E292" i="6"/>
  <c r="D292" i="6"/>
  <c r="C292" i="6"/>
  <c r="B292" i="6"/>
  <c r="A292" i="6"/>
  <c r="H292" i="6" s="1"/>
  <c r="E291" i="6"/>
  <c r="D291" i="6"/>
  <c r="C291" i="6"/>
  <c r="B291" i="6"/>
  <c r="A291" i="6"/>
  <c r="H291" i="6" s="1"/>
  <c r="E290" i="6"/>
  <c r="D290" i="6"/>
  <c r="C290" i="6"/>
  <c r="B290" i="6"/>
  <c r="A290" i="6"/>
  <c r="H290" i="6" s="1"/>
  <c r="E289" i="6"/>
  <c r="D289" i="6"/>
  <c r="C289" i="6"/>
  <c r="B289" i="6"/>
  <c r="A289" i="6"/>
  <c r="H289" i="6" s="1"/>
  <c r="E288" i="6"/>
  <c r="D288" i="6"/>
  <c r="C288" i="6"/>
  <c r="B288" i="6"/>
  <c r="A288" i="6"/>
  <c r="H288" i="6" s="1"/>
  <c r="E287" i="6"/>
  <c r="D287" i="6"/>
  <c r="C287" i="6"/>
  <c r="B287" i="6"/>
  <c r="A287" i="6"/>
  <c r="H287" i="6" s="1"/>
  <c r="E286" i="6"/>
  <c r="D286" i="6"/>
  <c r="C286" i="6"/>
  <c r="B286" i="6"/>
  <c r="B322" i="6" s="1"/>
  <c r="A286" i="6"/>
  <c r="E285" i="6"/>
  <c r="D285" i="6"/>
  <c r="C285" i="6"/>
  <c r="B285" i="6"/>
  <c r="A285" i="6"/>
  <c r="A275" i="6"/>
  <c r="A274" i="6"/>
  <c r="A273" i="6"/>
  <c r="A272" i="6"/>
  <c r="A271" i="6"/>
  <c r="A270" i="6"/>
  <c r="A269" i="6"/>
  <c r="A268" i="6"/>
  <c r="A267" i="6"/>
  <c r="A266" i="6"/>
  <c r="A265" i="6"/>
  <c r="C264" i="6"/>
  <c r="A264" i="6"/>
  <c r="C263" i="6"/>
  <c r="A263" i="6"/>
  <c r="A262" i="6"/>
  <c r="A261" i="6"/>
  <c r="C247" i="6"/>
  <c r="B247" i="6"/>
  <c r="E220" i="6"/>
  <c r="D220" i="6"/>
  <c r="E219" i="6"/>
  <c r="D219" i="6"/>
  <c r="B184" i="6"/>
  <c r="E183" i="6"/>
  <c r="F152" i="6"/>
  <c r="F151" i="6"/>
  <c r="F150" i="6"/>
  <c r="D148" i="6"/>
  <c r="B133" i="6"/>
  <c r="B140" i="6" s="1"/>
  <c r="B132" i="6"/>
  <c r="B138" i="6" s="1"/>
  <c r="B121" i="6"/>
  <c r="B122" i="6" s="1"/>
  <c r="B116" i="6"/>
  <c r="A56" i="6"/>
  <c r="B55" i="6"/>
  <c r="D50" i="6"/>
  <c r="F50" i="6" s="1"/>
  <c r="C50" i="6"/>
  <c r="E50" i="6" s="1"/>
  <c r="D49" i="6"/>
  <c r="C49" i="6"/>
  <c r="D48" i="6"/>
  <c r="C48" i="6"/>
  <c r="D47" i="6"/>
  <c r="C47" i="6"/>
  <c r="D46" i="6"/>
  <c r="F46" i="6" s="1"/>
  <c r="C46" i="6"/>
  <c r="E46" i="6" s="1"/>
  <c r="D45" i="6"/>
  <c r="F45" i="6" s="1"/>
  <c r="C45" i="6"/>
  <c r="E45" i="6" s="1"/>
  <c r="D44" i="6"/>
  <c r="F44" i="6" s="1"/>
  <c r="C44" i="6"/>
  <c r="E44" i="6" s="1"/>
  <c r="D43" i="6"/>
  <c r="E42" i="6"/>
  <c r="D42" i="6"/>
  <c r="C42" i="6"/>
  <c r="E41" i="6"/>
  <c r="D41" i="6"/>
  <c r="C34" i="6"/>
  <c r="B34" i="6"/>
  <c r="I18" i="6"/>
  <c r="J17" i="6"/>
  <c r="I17" i="6"/>
  <c r="G17" i="6"/>
  <c r="J14" i="6"/>
  <c r="I14" i="6"/>
  <c r="J13" i="6"/>
  <c r="G13" i="6"/>
  <c r="I12" i="6"/>
  <c r="B21" i="6"/>
  <c r="I11" i="6"/>
  <c r="G9" i="6"/>
  <c r="A321" i="1"/>
  <c r="B321" i="1"/>
  <c r="C321" i="1"/>
  <c r="D321" i="1"/>
  <c r="E321" i="1"/>
  <c r="F321"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2" i="1"/>
  <c r="E313" i="1"/>
  <c r="E314" i="1"/>
  <c r="E315" i="1"/>
  <c r="E316" i="1"/>
  <c r="E317" i="1"/>
  <c r="E318" i="1"/>
  <c r="E319" i="1"/>
  <c r="E320" i="1"/>
  <c r="C285" i="1"/>
  <c r="D285" i="1"/>
  <c r="C286" i="1"/>
  <c r="D286" i="1"/>
  <c r="C287" i="1"/>
  <c r="D287" i="1"/>
  <c r="C288" i="1"/>
  <c r="D288" i="1"/>
  <c r="C289" i="1"/>
  <c r="D289" i="1"/>
  <c r="C290" i="1"/>
  <c r="D290" i="1"/>
  <c r="C291" i="1"/>
  <c r="D291" i="1"/>
  <c r="C292" i="1"/>
  <c r="D292" i="1"/>
  <c r="C293" i="1"/>
  <c r="D293" i="1"/>
  <c r="C294" i="1"/>
  <c r="D294" i="1"/>
  <c r="C295" i="1"/>
  <c r="D295" i="1"/>
  <c r="C296" i="1"/>
  <c r="D296" i="1"/>
  <c r="C297" i="1"/>
  <c r="D297" i="1"/>
  <c r="C298" i="1"/>
  <c r="D298" i="1"/>
  <c r="C299" i="1"/>
  <c r="D299" i="1"/>
  <c r="C300" i="1"/>
  <c r="D300" i="1"/>
  <c r="C301" i="1"/>
  <c r="D301" i="1"/>
  <c r="C302" i="1"/>
  <c r="D302" i="1"/>
  <c r="C303" i="1"/>
  <c r="D303" i="1"/>
  <c r="C304" i="1"/>
  <c r="D304" i="1"/>
  <c r="C305" i="1"/>
  <c r="D305" i="1"/>
  <c r="C306" i="1"/>
  <c r="D306" i="1"/>
  <c r="C307" i="1"/>
  <c r="D307" i="1"/>
  <c r="C308" i="1"/>
  <c r="D308" i="1"/>
  <c r="C309" i="1"/>
  <c r="D309" i="1"/>
  <c r="C310" i="1"/>
  <c r="D310" i="1"/>
  <c r="C312" i="1"/>
  <c r="D312" i="1"/>
  <c r="C313" i="1"/>
  <c r="D313" i="1"/>
  <c r="C314" i="1"/>
  <c r="D314" i="1"/>
  <c r="C315" i="1"/>
  <c r="D315" i="1"/>
  <c r="C316" i="1"/>
  <c r="D316" i="1"/>
  <c r="C317" i="1"/>
  <c r="D317" i="1"/>
  <c r="C318" i="1"/>
  <c r="D318" i="1"/>
  <c r="C319" i="1"/>
  <c r="D319" i="1"/>
  <c r="C320" i="1"/>
  <c r="D320"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2" i="1"/>
  <c r="B313" i="1"/>
  <c r="B314" i="1"/>
  <c r="B315" i="1"/>
  <c r="B316" i="1"/>
  <c r="B317" i="1"/>
  <c r="B318" i="1"/>
  <c r="B319" i="1"/>
  <c r="B320" i="1"/>
  <c r="A316" i="1"/>
  <c r="A317" i="1"/>
  <c r="A318" i="1"/>
  <c r="A319" i="1"/>
  <c r="A320" i="1"/>
  <c r="A315" i="1"/>
  <c r="A309" i="1"/>
  <c r="A310" i="1"/>
  <c r="A312" i="1"/>
  <c r="A313" i="1"/>
  <c r="A314" i="1"/>
  <c r="A303" i="1"/>
  <c r="A304" i="1"/>
  <c r="A305" i="1"/>
  <c r="A306" i="1"/>
  <c r="A307" i="1"/>
  <c r="A308" i="1"/>
  <c r="A286" i="1"/>
  <c r="A287" i="1"/>
  <c r="A288" i="1"/>
  <c r="A289" i="1"/>
  <c r="A290" i="1"/>
  <c r="A291" i="1"/>
  <c r="A292" i="1"/>
  <c r="A293" i="1"/>
  <c r="A294" i="1"/>
  <c r="A295" i="1"/>
  <c r="A296" i="1"/>
  <c r="A297" i="1"/>
  <c r="A298" i="1"/>
  <c r="A299" i="1"/>
  <c r="A300" i="1"/>
  <c r="A301" i="1"/>
  <c r="A302" i="1"/>
  <c r="A285" i="1"/>
  <c r="C263" i="1"/>
  <c r="C264" i="1"/>
  <c r="B12" i="1"/>
  <c r="A263" i="1"/>
  <c r="A264" i="1"/>
  <c r="A265" i="1"/>
  <c r="A266" i="1"/>
  <c r="A267" i="1"/>
  <c r="A268" i="1"/>
  <c r="A269" i="1"/>
  <c r="A270" i="1"/>
  <c r="A271" i="1"/>
  <c r="A272" i="1"/>
  <c r="A273" i="1"/>
  <c r="A274" i="1"/>
  <c r="A275" i="1"/>
  <c r="A261" i="1"/>
  <c r="A262" i="1"/>
  <c r="B21" i="1"/>
  <c r="E42" i="1"/>
  <c r="E41" i="1"/>
  <c r="C247" i="1"/>
  <c r="B247" i="1"/>
  <c r="B133" i="1"/>
  <c r="B140" i="1" s="1"/>
  <c r="B132" i="1"/>
  <c r="B138" i="1" s="1"/>
  <c r="B116" i="1"/>
  <c r="E220" i="1"/>
  <c r="D220" i="1"/>
  <c r="E219" i="1"/>
  <c r="D219" i="1"/>
  <c r="B23" i="4"/>
  <c r="B221" i="6" s="1"/>
  <c r="C221" i="6" s="1"/>
  <c r="I11" i="1"/>
  <c r="I12" i="1"/>
  <c r="I14" i="1"/>
  <c r="I17" i="1"/>
  <c r="I18" i="1"/>
  <c r="J14" i="1"/>
  <c r="J13" i="1"/>
  <c r="J17" i="1"/>
  <c r="G17" i="1"/>
  <c r="B184" i="1"/>
  <c r="E183" i="1"/>
  <c r="A56" i="1"/>
  <c r="B55" i="1"/>
  <c r="F151" i="1"/>
  <c r="F152" i="1"/>
  <c r="F150" i="1"/>
  <c r="D42" i="1"/>
  <c r="D43" i="1"/>
  <c r="D44" i="1"/>
  <c r="D45" i="1"/>
  <c r="D46" i="1"/>
  <c r="D47" i="1"/>
  <c r="D48" i="1"/>
  <c r="D49" i="1"/>
  <c r="D50" i="1"/>
  <c r="D41" i="1"/>
  <c r="C44" i="1"/>
  <c r="C45" i="1"/>
  <c r="C46" i="1"/>
  <c r="C47" i="1"/>
  <c r="C48" i="1"/>
  <c r="C49" i="1"/>
  <c r="C50" i="1"/>
  <c r="F44" i="1"/>
  <c r="F45" i="1"/>
  <c r="F46" i="1"/>
  <c r="F50" i="1"/>
  <c r="D148" i="1"/>
  <c r="C42" i="1"/>
  <c r="E44" i="1"/>
  <c r="E45" i="1"/>
  <c r="E46" i="1"/>
  <c r="E50" i="1"/>
  <c r="C34" i="1"/>
  <c r="B34" i="1"/>
  <c r="B121" i="1"/>
  <c r="B122" i="1" s="1"/>
  <c r="F14" i="9"/>
  <c r="F13" i="9"/>
  <c r="F12" i="9"/>
  <c r="F11" i="9"/>
  <c r="F10" i="9"/>
  <c r="F9" i="9"/>
  <c r="F8" i="9"/>
  <c r="F7" i="9"/>
  <c r="F6" i="9"/>
  <c r="F5" i="9"/>
  <c r="F4" i="9"/>
  <c r="F3" i="9"/>
  <c r="F2" i="9"/>
  <c r="H2" i="9" s="1"/>
  <c r="A322" i="6" l="1"/>
  <c r="L245" i="6" s="1"/>
  <c r="M245" i="6" s="1"/>
  <c r="J245" i="6"/>
  <c r="H302" i="1"/>
  <c r="H311" i="1"/>
  <c r="H302" i="6"/>
  <c r="H311" i="6"/>
  <c r="H286" i="6"/>
  <c r="H18" i="6"/>
  <c r="H15" i="6"/>
  <c r="H14" i="6"/>
  <c r="H12" i="6"/>
  <c r="H11" i="6"/>
  <c r="J9" i="6"/>
  <c r="B123" i="6"/>
  <c r="H13" i="6"/>
  <c r="K13" i="6"/>
  <c r="M13" i="6" s="1"/>
  <c r="J15" i="6"/>
  <c r="K14" i="6"/>
  <c r="M14" i="6" s="1"/>
  <c r="H17" i="6"/>
  <c r="J18" i="6"/>
  <c r="K17" i="6"/>
  <c r="M17" i="6" s="1"/>
  <c r="C43" i="6"/>
  <c r="C41" i="6"/>
  <c r="B136" i="6" s="1"/>
  <c r="B37" i="6"/>
  <c r="A57" i="6"/>
  <c r="D56" i="6"/>
  <c r="B56" i="6"/>
  <c r="B124" i="6"/>
  <c r="E221" i="6"/>
  <c r="D221" i="6"/>
  <c r="C188" i="6"/>
  <c r="C196" i="6" s="1"/>
  <c r="B188" i="6"/>
  <c r="C187" i="6"/>
  <c r="B187" i="6"/>
  <c r="C186" i="6"/>
  <c r="C194" i="6" s="1"/>
  <c r="B186" i="6"/>
  <c r="F219" i="6"/>
  <c r="G219" i="6" s="1"/>
  <c r="F220" i="6"/>
  <c r="G220" i="6" s="1"/>
  <c r="F287" i="6"/>
  <c r="F289" i="6"/>
  <c r="F291" i="6"/>
  <c r="F293" i="6"/>
  <c r="F294" i="6"/>
  <c r="F295" i="6"/>
  <c r="F297" i="6"/>
  <c r="F299" i="6"/>
  <c r="F301" i="6"/>
  <c r="H303" i="6"/>
  <c r="F303" i="6"/>
  <c r="H304" i="6"/>
  <c r="I304" i="6"/>
  <c r="F304" i="6"/>
  <c r="H305" i="6"/>
  <c r="H306" i="6"/>
  <c r="F306" i="6"/>
  <c r="H307" i="6"/>
  <c r="F307" i="6"/>
  <c r="H308" i="6"/>
  <c r="F308" i="6"/>
  <c r="H309" i="6"/>
  <c r="H310" i="6"/>
  <c r="F310" i="6"/>
  <c r="H312" i="6"/>
  <c r="H313" i="6"/>
  <c r="F313" i="6"/>
  <c r="H314" i="6"/>
  <c r="F314" i="6"/>
  <c r="H315" i="6"/>
  <c r="F315" i="6"/>
  <c r="H316" i="6"/>
  <c r="F316" i="6"/>
  <c r="H317" i="6"/>
  <c r="F317" i="6"/>
  <c r="H318" i="6"/>
  <c r="F318" i="6"/>
  <c r="H319" i="6"/>
  <c r="F319" i="6"/>
  <c r="H320" i="6"/>
  <c r="F320" i="6"/>
  <c r="H321" i="6"/>
  <c r="F321" i="6"/>
  <c r="H301" i="1"/>
  <c r="H300" i="1"/>
  <c r="H299" i="1"/>
  <c r="H298" i="1"/>
  <c r="H297" i="1"/>
  <c r="H296" i="1"/>
  <c r="H295" i="1"/>
  <c r="H294" i="1"/>
  <c r="H293" i="1"/>
  <c r="H292" i="1"/>
  <c r="H291" i="1"/>
  <c r="H290" i="1"/>
  <c r="H289" i="1"/>
  <c r="H288" i="1"/>
  <c r="H287" i="1"/>
  <c r="H308" i="1"/>
  <c r="H307" i="1"/>
  <c r="H306" i="1"/>
  <c r="H305" i="1"/>
  <c r="H304" i="1"/>
  <c r="H303" i="1"/>
  <c r="H314" i="1"/>
  <c r="H313" i="1"/>
  <c r="H312" i="1"/>
  <c r="H310" i="1"/>
  <c r="H309" i="1"/>
  <c r="H315" i="1"/>
  <c r="H320" i="1"/>
  <c r="H319" i="1"/>
  <c r="H318" i="1"/>
  <c r="H317" i="1"/>
  <c r="H316" i="1"/>
  <c r="I304" i="1"/>
  <c r="F303" i="1"/>
  <c r="F301" i="1"/>
  <c r="F299" i="1"/>
  <c r="F297" i="1"/>
  <c r="F295" i="1"/>
  <c r="F293" i="1"/>
  <c r="F291" i="1"/>
  <c r="F289" i="1"/>
  <c r="F287" i="1"/>
  <c r="H321" i="1"/>
  <c r="H286" i="1"/>
  <c r="F320" i="1"/>
  <c r="F318" i="1"/>
  <c r="F316" i="1"/>
  <c r="F314" i="1"/>
  <c r="F307" i="1"/>
  <c r="F294" i="1"/>
  <c r="F319" i="1"/>
  <c r="F317" i="1"/>
  <c r="F315" i="1"/>
  <c r="B221" i="1"/>
  <c r="C221" i="1" s="1"/>
  <c r="C23" i="4"/>
  <c r="D23" i="4" s="1"/>
  <c r="B222" i="6" s="1"/>
  <c r="C43" i="1"/>
  <c r="C41" i="1"/>
  <c r="B123" i="1"/>
  <c r="B124" i="1" s="1"/>
  <c r="B127" i="1" s="1"/>
  <c r="B244" i="1"/>
  <c r="F219" i="1"/>
  <c r="G219" i="1" s="1"/>
  <c r="F220" i="1"/>
  <c r="G220" i="1" s="1"/>
  <c r="D221" i="1"/>
  <c r="E221" i="1"/>
  <c r="F221" i="1" s="1"/>
  <c r="C188" i="1"/>
  <c r="C196" i="1" s="1"/>
  <c r="B188" i="1"/>
  <c r="G9" i="1"/>
  <c r="J18" i="1"/>
  <c r="J15" i="1"/>
  <c r="B187" i="1"/>
  <c r="B186" i="1"/>
  <c r="C187" i="1"/>
  <c r="C186" i="1"/>
  <c r="C194" i="1" s="1"/>
  <c r="A57" i="1"/>
  <c r="D56" i="1"/>
  <c r="B56" i="1"/>
  <c r="B136" i="1"/>
  <c r="B37" i="1"/>
  <c r="B125" i="1"/>
  <c r="B126" i="1"/>
  <c r="B4" i="11"/>
  <c r="B2" i="11"/>
  <c r="I2" i="9"/>
  <c r="B3" i="11" s="1"/>
  <c r="H322" i="6" l="1"/>
  <c r="H323" i="6"/>
  <c r="C222" i="6"/>
  <c r="E222" i="6" s="1"/>
  <c r="D222" i="6"/>
  <c r="D186" i="6"/>
  <c r="D187" i="6"/>
  <c r="C195" i="6"/>
  <c r="B196" i="6"/>
  <c r="D188" i="6"/>
  <c r="D196" i="6"/>
  <c r="F221" i="6"/>
  <c r="G221" i="6" s="1"/>
  <c r="F222" i="6"/>
  <c r="G222" i="6" s="1"/>
  <c r="B244" i="6"/>
  <c r="B127" i="6"/>
  <c r="B126" i="6"/>
  <c r="B125" i="6"/>
  <c r="B137" i="6"/>
  <c r="C244" i="6" s="1"/>
  <c r="E56" i="6"/>
  <c r="A58" i="6"/>
  <c r="D57" i="6"/>
  <c r="B57" i="6"/>
  <c r="K18" i="6"/>
  <c r="M18" i="6" s="1"/>
  <c r="K15" i="6"/>
  <c r="K12" i="6"/>
  <c r="M12" i="6" s="1"/>
  <c r="K11" i="6"/>
  <c r="M11" i="6" s="1"/>
  <c r="S10" i="6"/>
  <c r="B222" i="1"/>
  <c r="E23" i="4"/>
  <c r="F23" i="4" s="1"/>
  <c r="B223" i="6" s="1"/>
  <c r="D188" i="1"/>
  <c r="B196" i="1"/>
  <c r="D196" i="1"/>
  <c r="E56" i="1"/>
  <c r="B137" i="1"/>
  <c r="C244" i="1" s="1"/>
  <c r="B243" i="1"/>
  <c r="B257" i="1" s="1"/>
  <c r="F244" i="1"/>
  <c r="G244" i="6" s="1"/>
  <c r="G221" i="1"/>
  <c r="C195" i="1"/>
  <c r="B194" i="1"/>
  <c r="D194" i="1" s="1"/>
  <c r="D186" i="1"/>
  <c r="B195" i="1"/>
  <c r="D187" i="1"/>
  <c r="J9" i="1"/>
  <c r="H18" i="1"/>
  <c r="H12" i="1"/>
  <c r="H14" i="1"/>
  <c r="H15" i="1"/>
  <c r="H11" i="1"/>
  <c r="H17" i="1"/>
  <c r="A58" i="1"/>
  <c r="D57" i="1"/>
  <c r="B57" i="1"/>
  <c r="C223" i="6" l="1"/>
  <c r="E223" i="6" s="1"/>
  <c r="D223" i="6"/>
  <c r="S16" i="6"/>
  <c r="S12" i="6"/>
  <c r="R12" i="6" s="1"/>
  <c r="S11" i="6"/>
  <c r="R11" i="6" s="1"/>
  <c r="S13" i="6"/>
  <c r="R13" i="6" s="1"/>
  <c r="S14" i="6"/>
  <c r="R14" i="6" s="1"/>
  <c r="S17" i="6"/>
  <c r="R17" i="6" s="1"/>
  <c r="S18" i="6"/>
  <c r="R18" i="6" s="1"/>
  <c r="S15" i="6"/>
  <c r="R15" i="6" s="1"/>
  <c r="B139" i="6"/>
  <c r="E57" i="6"/>
  <c r="A59" i="6"/>
  <c r="D58" i="6"/>
  <c r="B158" i="6" s="1"/>
  <c r="B58" i="6"/>
  <c r="F244" i="6"/>
  <c r="H244" i="6" s="1"/>
  <c r="B243" i="6"/>
  <c r="B257" i="6" s="1"/>
  <c r="E196" i="6"/>
  <c r="B194" i="6"/>
  <c r="B195" i="6"/>
  <c r="D195" i="6"/>
  <c r="F306" i="1"/>
  <c r="F305" i="1"/>
  <c r="B223" i="1"/>
  <c r="G23" i="4"/>
  <c r="H23" i="4" s="1"/>
  <c r="B224" i="6" s="1"/>
  <c r="C222" i="1"/>
  <c r="E222" i="1" s="1"/>
  <c r="D222" i="1"/>
  <c r="E196" i="1"/>
  <c r="E57" i="1"/>
  <c r="B139" i="1"/>
  <c r="D195" i="1"/>
  <c r="E194" i="1"/>
  <c r="E195" i="1"/>
  <c r="S10" i="1"/>
  <c r="K12" i="1"/>
  <c r="M12" i="1" s="1"/>
  <c r="K11" i="1"/>
  <c r="M11" i="1" s="1"/>
  <c r="K17" i="1"/>
  <c r="M17" i="1" s="1"/>
  <c r="K13" i="1"/>
  <c r="M13" i="1" s="1"/>
  <c r="K14" i="1"/>
  <c r="M14" i="1" s="1"/>
  <c r="K15" i="1"/>
  <c r="K18" i="1"/>
  <c r="M18" i="1" s="1"/>
  <c r="A59" i="1"/>
  <c r="D58" i="1"/>
  <c r="B158" i="1" s="1"/>
  <c r="B58" i="1"/>
  <c r="B6" i="11"/>
  <c r="C224" i="6" l="1"/>
  <c r="E224" i="6" s="1"/>
  <c r="D224" i="6"/>
  <c r="F223" i="6"/>
  <c r="G223" i="6" s="1"/>
  <c r="E195" i="6"/>
  <c r="D194" i="6"/>
  <c r="E194" i="6" s="1"/>
  <c r="F305" i="6"/>
  <c r="A60" i="6"/>
  <c r="D59" i="6"/>
  <c r="B163" i="6" s="1"/>
  <c r="B59" i="6"/>
  <c r="B141" i="6"/>
  <c r="B142" i="6" s="1"/>
  <c r="B143" i="6" s="1"/>
  <c r="C245" i="6"/>
  <c r="F222" i="1"/>
  <c r="G222" i="1" s="1"/>
  <c r="B224" i="1"/>
  <c r="I23" i="4"/>
  <c r="J23" i="4" s="1"/>
  <c r="B219" i="6" s="1"/>
  <c r="C219" i="6" s="1"/>
  <c r="C223" i="1"/>
  <c r="E223" i="1" s="1"/>
  <c r="D223" i="1"/>
  <c r="B141" i="1"/>
  <c r="C245" i="1"/>
  <c r="B142" i="1"/>
  <c r="E197" i="1"/>
  <c r="S12" i="1"/>
  <c r="R12" i="1" s="1"/>
  <c r="S13" i="1"/>
  <c r="S14" i="1"/>
  <c r="R14" i="1" s="1"/>
  <c r="S15" i="1"/>
  <c r="R15" i="1" s="1"/>
  <c r="S16" i="1"/>
  <c r="S17" i="1"/>
  <c r="R17" i="1" s="1"/>
  <c r="S18" i="1"/>
  <c r="R18" i="1" s="1"/>
  <c r="S11" i="1"/>
  <c r="R11" i="1" s="1"/>
  <c r="A60" i="1"/>
  <c r="D59" i="1"/>
  <c r="B163" i="1" s="1"/>
  <c r="B59" i="1"/>
  <c r="F224" i="6" l="1"/>
  <c r="G224" i="6" s="1"/>
  <c r="F245" i="6"/>
  <c r="K245" i="6" s="1"/>
  <c r="C243" i="6"/>
  <c r="C257" i="6" s="1"/>
  <c r="B160" i="6"/>
  <c r="A61" i="6"/>
  <c r="D60" i="6"/>
  <c r="B170" i="6" s="1"/>
  <c r="B60" i="6"/>
  <c r="E197" i="6"/>
  <c r="F196" i="6" s="1"/>
  <c r="F194" i="6"/>
  <c r="F195" i="6"/>
  <c r="F223" i="1"/>
  <c r="G223" i="1" s="1"/>
  <c r="B219" i="1"/>
  <c r="C219" i="1" s="1"/>
  <c r="K23" i="4"/>
  <c r="L23" i="4" s="1"/>
  <c r="B220" i="6" s="1"/>
  <c r="C220" i="6" s="1"/>
  <c r="C224" i="1"/>
  <c r="E224" i="1" s="1"/>
  <c r="D224" i="1"/>
  <c r="B143" i="1"/>
  <c r="B5" i="11"/>
  <c r="F245" i="1"/>
  <c r="G245" i="6" s="1"/>
  <c r="C243" i="1"/>
  <c r="C257" i="1" s="1"/>
  <c r="F196" i="1"/>
  <c r="F195" i="1"/>
  <c r="F194" i="1"/>
  <c r="A61" i="1"/>
  <c r="D60" i="1"/>
  <c r="B170" i="1" s="1"/>
  <c r="B60" i="1"/>
  <c r="H245" i="6" l="1"/>
  <c r="I245" i="6" s="1"/>
  <c r="G225" i="6"/>
  <c r="A62" i="6"/>
  <c r="D61" i="6"/>
  <c r="B61" i="6"/>
  <c r="B161" i="6"/>
  <c r="F224" i="1"/>
  <c r="G224" i="1" s="1"/>
  <c r="B220" i="1"/>
  <c r="C220" i="1" s="1"/>
  <c r="M23" i="4"/>
  <c r="B160" i="1"/>
  <c r="A62" i="1"/>
  <c r="D61" i="1"/>
  <c r="B61" i="1"/>
  <c r="H220" i="6" l="1"/>
  <c r="H219" i="6"/>
  <c r="H223" i="6"/>
  <c r="H222" i="6"/>
  <c r="H221" i="6"/>
  <c r="H224" i="6"/>
  <c r="B167" i="6"/>
  <c r="B165" i="6"/>
  <c r="A63" i="6"/>
  <c r="D62" i="6"/>
  <c r="B62" i="6"/>
  <c r="G225" i="1"/>
  <c r="B161" i="1"/>
  <c r="A63" i="1"/>
  <c r="D62" i="1"/>
  <c r="B62" i="1"/>
  <c r="H225" i="6" l="1"/>
  <c r="A64" i="6"/>
  <c r="D63" i="6"/>
  <c r="B63" i="6"/>
  <c r="B168" i="6"/>
  <c r="H220" i="1"/>
  <c r="H219" i="1"/>
  <c r="H221" i="1"/>
  <c r="H222" i="1"/>
  <c r="H223" i="1"/>
  <c r="H224" i="1"/>
  <c r="B165" i="1"/>
  <c r="B167" i="1"/>
  <c r="A64" i="1"/>
  <c r="D63" i="1"/>
  <c r="B63" i="1"/>
  <c r="B174" i="6" l="1"/>
  <c r="D249" i="6" s="1"/>
  <c r="B172" i="6"/>
  <c r="A65" i="6"/>
  <c r="D64" i="6"/>
  <c r="B64" i="6"/>
  <c r="H225" i="1"/>
  <c r="B168" i="1"/>
  <c r="A65" i="1"/>
  <c r="D64" i="1"/>
  <c r="B64" i="1"/>
  <c r="A66" i="6" l="1"/>
  <c r="D65" i="6"/>
  <c r="B65" i="6"/>
  <c r="D246" i="6"/>
  <c r="B175" i="6"/>
  <c r="B181" i="6" s="1"/>
  <c r="D247" i="6"/>
  <c r="B174" i="1"/>
  <c r="D249" i="1" s="1"/>
  <c r="B172" i="1"/>
  <c r="B175" i="1"/>
  <c r="B181" i="1" s="1"/>
  <c r="A66" i="1"/>
  <c r="D65" i="1"/>
  <c r="B65" i="1"/>
  <c r="B202" i="6" l="1"/>
  <c r="B200" i="6"/>
  <c r="D243" i="6"/>
  <c r="D257" i="6" s="1"/>
  <c r="E65" i="6"/>
  <c r="A67" i="6"/>
  <c r="D66" i="6"/>
  <c r="B66" i="6"/>
  <c r="D247" i="1"/>
  <c r="B202" i="1"/>
  <c r="B200" i="1"/>
  <c r="B203" i="1" s="1"/>
  <c r="B201" i="1"/>
  <c r="D246" i="1"/>
  <c r="E65" i="1"/>
  <c r="A67" i="1"/>
  <c r="D66" i="1"/>
  <c r="B66" i="1"/>
  <c r="A68" i="6" l="1"/>
  <c r="D67" i="6"/>
  <c r="B67" i="6"/>
  <c r="B203" i="6"/>
  <c r="B201" i="6"/>
  <c r="D243" i="1"/>
  <c r="D257" i="1" s="1"/>
  <c r="C201" i="1"/>
  <c r="B204" i="1"/>
  <c r="E248" i="1"/>
  <c r="C267" i="1" s="1"/>
  <c r="A68" i="1"/>
  <c r="D67" i="1"/>
  <c r="B67" i="1"/>
  <c r="C201" i="6" l="1"/>
  <c r="E248" i="6"/>
  <c r="B204" i="6"/>
  <c r="A69" i="6"/>
  <c r="D68" i="6"/>
  <c r="B68" i="6"/>
  <c r="F248" i="1"/>
  <c r="B205" i="1"/>
  <c r="B7" i="11"/>
  <c r="A69" i="1"/>
  <c r="D68" i="1"/>
  <c r="B68" i="1"/>
  <c r="F296" i="1" l="1"/>
  <c r="G248" i="6"/>
  <c r="A70" i="6"/>
  <c r="D69" i="6"/>
  <c r="B69" i="6"/>
  <c r="B205" i="6"/>
  <c r="C267" i="6"/>
  <c r="F248" i="6"/>
  <c r="B206" i="1"/>
  <c r="B208" i="1"/>
  <c r="B207" i="1"/>
  <c r="E249" i="1"/>
  <c r="C268" i="1" s="1"/>
  <c r="A70" i="1"/>
  <c r="D69" i="1"/>
  <c r="B69" i="1"/>
  <c r="F296" i="6" l="1"/>
  <c r="H248" i="6"/>
  <c r="E249" i="6"/>
  <c r="B208" i="6"/>
  <c r="B207" i="6"/>
  <c r="B206" i="6"/>
  <c r="A71" i="6"/>
  <c r="D70" i="6"/>
  <c r="B70" i="6"/>
  <c r="B209" i="1"/>
  <c r="B238" i="1"/>
  <c r="F249" i="1"/>
  <c r="A71" i="1"/>
  <c r="D70" i="1"/>
  <c r="B70" i="1"/>
  <c r="F302" i="1" l="1"/>
  <c r="G249" i="6"/>
  <c r="A72" i="6"/>
  <c r="D71" i="6"/>
  <c r="B71" i="6"/>
  <c r="B209" i="6"/>
  <c r="B238" i="6"/>
  <c r="B239" i="6" s="1"/>
  <c r="E256" i="6" s="1"/>
  <c r="C268" i="6"/>
  <c r="F249" i="6"/>
  <c r="B211" i="1"/>
  <c r="B210" i="1" s="1"/>
  <c r="B239" i="1"/>
  <c r="E256" i="1" s="1"/>
  <c r="C275" i="1" s="1"/>
  <c r="A72" i="1"/>
  <c r="D71" i="1"/>
  <c r="B71" i="1"/>
  <c r="F302" i="6" l="1"/>
  <c r="H249" i="6"/>
  <c r="C275" i="6"/>
  <c r="F256" i="6"/>
  <c r="B211" i="6"/>
  <c r="B235" i="6" s="1"/>
  <c r="B236" i="6" s="1"/>
  <c r="E246" i="6" s="1"/>
  <c r="B210" i="6"/>
  <c r="B212" i="6" s="1"/>
  <c r="A73" i="6"/>
  <c r="D72" i="6"/>
  <c r="B72" i="6"/>
  <c r="F256" i="1"/>
  <c r="G256" i="6" s="1"/>
  <c r="B212" i="1"/>
  <c r="B235" i="1"/>
  <c r="B236" i="1" s="1"/>
  <c r="E246" i="1" s="1"/>
  <c r="C265" i="1" s="1"/>
  <c r="F246" i="1"/>
  <c r="E243" i="1"/>
  <c r="C262" i="1" s="1"/>
  <c r="A73" i="1"/>
  <c r="D72" i="1"/>
  <c r="B72" i="1"/>
  <c r="F309" i="1" l="1"/>
  <c r="G246" i="6"/>
  <c r="H256" i="6"/>
  <c r="A74" i="6"/>
  <c r="D73" i="6"/>
  <c r="B73" i="6"/>
  <c r="I221" i="6"/>
  <c r="J221" i="6" s="1"/>
  <c r="I222" i="6"/>
  <c r="J222" i="6" s="1"/>
  <c r="I223" i="6"/>
  <c r="J223" i="6" s="1"/>
  <c r="I224" i="6"/>
  <c r="J224" i="6" s="1"/>
  <c r="I219" i="6"/>
  <c r="J219" i="6" s="1"/>
  <c r="I220" i="6"/>
  <c r="J220" i="6" s="1"/>
  <c r="C265" i="6"/>
  <c r="E243" i="6"/>
  <c r="C262" i="6" s="1"/>
  <c r="F246" i="6"/>
  <c r="H246" i="6" s="1"/>
  <c r="F312" i="6"/>
  <c r="F313" i="1"/>
  <c r="F312" i="1"/>
  <c r="F310" i="1"/>
  <c r="F308" i="1"/>
  <c r="F243" i="1"/>
  <c r="I224" i="1"/>
  <c r="J224" i="1" s="1"/>
  <c r="I223" i="1"/>
  <c r="J223" i="1" s="1"/>
  <c r="I222" i="1"/>
  <c r="J222" i="1" s="1"/>
  <c r="I221" i="1"/>
  <c r="J221" i="1" s="1"/>
  <c r="I219" i="1"/>
  <c r="J219" i="1" s="1"/>
  <c r="I220" i="1"/>
  <c r="J220" i="1" s="1"/>
  <c r="A74" i="1"/>
  <c r="D73" i="1"/>
  <c r="B73" i="1"/>
  <c r="F304" i="1" l="1"/>
  <c r="G243" i="6"/>
  <c r="F309" i="6"/>
  <c r="F243" i="6"/>
  <c r="H243" i="6" s="1"/>
  <c r="J225" i="6"/>
  <c r="K220" i="6" s="1"/>
  <c r="B228" i="6" s="1"/>
  <c r="E253" i="6" s="1"/>
  <c r="K219" i="6"/>
  <c r="K224" i="6"/>
  <c r="B232" i="6" s="1"/>
  <c r="E252" i="6" s="1"/>
  <c r="K223" i="6"/>
  <c r="B231" i="6" s="1"/>
  <c r="E251" i="6" s="1"/>
  <c r="K222" i="6"/>
  <c r="B230" i="6" s="1"/>
  <c r="E250" i="6" s="1"/>
  <c r="K221" i="6"/>
  <c r="B229" i="6" s="1"/>
  <c r="E255" i="6" s="1"/>
  <c r="A75" i="6"/>
  <c r="D74" i="6"/>
  <c r="B74" i="6"/>
  <c r="J225" i="1"/>
  <c r="K221" i="1"/>
  <c r="B229" i="1" s="1"/>
  <c r="E255" i="1" s="1"/>
  <c r="C274" i="1" s="1"/>
  <c r="K222" i="1"/>
  <c r="B230" i="1" s="1"/>
  <c r="E250" i="1" s="1"/>
  <c r="C269" i="1" s="1"/>
  <c r="K223" i="1"/>
  <c r="B231" i="1" s="1"/>
  <c r="E251" i="1" s="1"/>
  <c r="C270" i="1" s="1"/>
  <c r="K224" i="1"/>
  <c r="B232" i="1" s="1"/>
  <c r="F250" i="1"/>
  <c r="E252" i="1"/>
  <c r="C271" i="1" s="1"/>
  <c r="A75" i="1"/>
  <c r="D74" i="1"/>
  <c r="B74" i="1"/>
  <c r="F286" i="1" l="1"/>
  <c r="G250" i="6"/>
  <c r="A76" i="6"/>
  <c r="D75" i="6"/>
  <c r="B75" i="6"/>
  <c r="C274" i="6"/>
  <c r="F255" i="6"/>
  <c r="C269" i="6"/>
  <c r="F250" i="6"/>
  <c r="C270" i="6"/>
  <c r="F251" i="6"/>
  <c r="C271" i="6"/>
  <c r="F252" i="6"/>
  <c r="B227" i="6"/>
  <c r="E254" i="6" s="1"/>
  <c r="K225" i="6"/>
  <c r="C272" i="6"/>
  <c r="F253" i="6"/>
  <c r="F251" i="1"/>
  <c r="F255" i="1"/>
  <c r="K220" i="1"/>
  <c r="B228" i="1" s="1"/>
  <c r="E253" i="1" s="1"/>
  <c r="C272" i="1" s="1"/>
  <c r="K219" i="1"/>
  <c r="F252" i="1"/>
  <c r="A76" i="1"/>
  <c r="D75" i="1"/>
  <c r="B75" i="1"/>
  <c r="F290" i="1" l="1"/>
  <c r="G252" i="6"/>
  <c r="F300" i="1"/>
  <c r="G255" i="6"/>
  <c r="F288" i="1"/>
  <c r="G251" i="6"/>
  <c r="F292" i="6"/>
  <c r="F290" i="6"/>
  <c r="H252" i="6"/>
  <c r="F288" i="6"/>
  <c r="H251" i="6"/>
  <c r="F286" i="6"/>
  <c r="H250" i="6"/>
  <c r="F300" i="6"/>
  <c r="H255" i="6"/>
  <c r="C273" i="6"/>
  <c r="F254" i="6"/>
  <c r="E247" i="6"/>
  <c r="A77" i="6"/>
  <c r="D76" i="6"/>
  <c r="B76" i="6"/>
  <c r="F253" i="1"/>
  <c r="B227" i="1"/>
  <c r="E254" i="1" s="1"/>
  <c r="C273" i="1" s="1"/>
  <c r="K225" i="1"/>
  <c r="B76" i="1"/>
  <c r="D76" i="1"/>
  <c r="A77" i="1"/>
  <c r="F292" i="1" l="1"/>
  <c r="G253" i="6"/>
  <c r="H253" i="6" s="1"/>
  <c r="F298" i="6"/>
  <c r="F323" i="6" s="1"/>
  <c r="A78" i="6"/>
  <c r="D77" i="6"/>
  <c r="B77" i="6"/>
  <c r="G321" i="6"/>
  <c r="G320" i="6"/>
  <c r="G319" i="6"/>
  <c r="G318" i="6"/>
  <c r="G317" i="6"/>
  <c r="G316" i="6"/>
  <c r="G315" i="6"/>
  <c r="G314" i="6"/>
  <c r="G313" i="6"/>
  <c r="G310" i="6"/>
  <c r="G308" i="6"/>
  <c r="G307" i="6"/>
  <c r="G306" i="6"/>
  <c r="G304" i="6"/>
  <c r="G303" i="6"/>
  <c r="G301" i="6"/>
  <c r="G299" i="6"/>
  <c r="G297" i="6"/>
  <c r="G295" i="6"/>
  <c r="G294" i="6"/>
  <c r="G293" i="6"/>
  <c r="G291" i="6"/>
  <c r="G289" i="6"/>
  <c r="G287" i="6"/>
  <c r="G305" i="6"/>
  <c r="G296" i="6"/>
  <c r="G302" i="6"/>
  <c r="G312" i="6"/>
  <c r="G309" i="6"/>
  <c r="G292" i="6"/>
  <c r="G290" i="6"/>
  <c r="G288" i="6"/>
  <c r="C266" i="6"/>
  <c r="F247" i="6"/>
  <c r="E257" i="6"/>
  <c r="C261" i="6" s="1"/>
  <c r="G298" i="6"/>
  <c r="B273" i="6"/>
  <c r="F254" i="1"/>
  <c r="E247" i="1"/>
  <c r="C266" i="1" s="1"/>
  <c r="A78" i="1"/>
  <c r="B77" i="1"/>
  <c r="D77" i="1"/>
  <c r="G311" i="6" l="1"/>
  <c r="G322" i="6"/>
  <c r="F298" i="1"/>
  <c r="F322" i="1" s="1"/>
  <c r="G311" i="1" s="1"/>
  <c r="G254" i="6"/>
  <c r="H254" i="6" s="1"/>
  <c r="F257" i="6"/>
  <c r="K322" i="6" s="1"/>
  <c r="M322" i="6" s="1"/>
  <c r="G286" i="6"/>
  <c r="G300" i="6"/>
  <c r="I298" i="6"/>
  <c r="J298" i="6" s="1"/>
  <c r="K298" i="6" s="1"/>
  <c r="I299" i="6"/>
  <c r="J299" i="6" s="1"/>
  <c r="K299" i="6" s="1"/>
  <c r="B264" i="6"/>
  <c r="B263" i="6"/>
  <c r="B267" i="6"/>
  <c r="B268" i="6"/>
  <c r="B275" i="6"/>
  <c r="B262" i="6"/>
  <c r="B265" i="6"/>
  <c r="B272" i="6"/>
  <c r="B271" i="6"/>
  <c r="B270" i="6"/>
  <c r="B269" i="6"/>
  <c r="B274" i="6"/>
  <c r="F240" i="6"/>
  <c r="F239" i="6"/>
  <c r="B266" i="6"/>
  <c r="I288" i="6"/>
  <c r="J288" i="6" s="1"/>
  <c r="K288" i="6" s="1"/>
  <c r="I289" i="6"/>
  <c r="J289" i="6" s="1"/>
  <c r="K289" i="6" s="1"/>
  <c r="I290" i="6"/>
  <c r="J290" i="6" s="1"/>
  <c r="K290" i="6" s="1"/>
  <c r="I291" i="6"/>
  <c r="J291" i="6" s="1"/>
  <c r="K291" i="6" s="1"/>
  <c r="I292" i="6"/>
  <c r="J292" i="6" s="1"/>
  <c r="K292" i="6" s="1"/>
  <c r="I293" i="6"/>
  <c r="J293" i="6" s="1"/>
  <c r="K293" i="6" s="1"/>
  <c r="I309" i="6"/>
  <c r="J309" i="6" s="1"/>
  <c r="K309" i="6" s="1"/>
  <c r="I310" i="6"/>
  <c r="I312" i="6"/>
  <c r="J312" i="6" s="1"/>
  <c r="K312" i="6" s="1"/>
  <c r="I313" i="6"/>
  <c r="J313" i="6" s="1"/>
  <c r="K313" i="6" s="1"/>
  <c r="I302" i="6"/>
  <c r="J302" i="6" s="1"/>
  <c r="K302" i="6" s="1"/>
  <c r="I303" i="6"/>
  <c r="I296" i="6"/>
  <c r="J296" i="6" s="1"/>
  <c r="K296" i="6" s="1"/>
  <c r="I297" i="6"/>
  <c r="J297" i="6" s="1"/>
  <c r="K297" i="6" s="1"/>
  <c r="I305" i="6"/>
  <c r="J305" i="6" s="1"/>
  <c r="K305" i="6" s="1"/>
  <c r="I306" i="6"/>
  <c r="J306" i="6" s="1"/>
  <c r="K306" i="6" s="1"/>
  <c r="I294" i="6"/>
  <c r="J294" i="6" s="1"/>
  <c r="K294" i="6" s="1"/>
  <c r="I295" i="6"/>
  <c r="J295" i="6" s="1"/>
  <c r="K295" i="6" s="1"/>
  <c r="I307" i="6"/>
  <c r="J307" i="6" s="1"/>
  <c r="K307" i="6" s="1"/>
  <c r="I308" i="6"/>
  <c r="J308" i="6" s="1"/>
  <c r="K308" i="6" s="1"/>
  <c r="I314" i="6"/>
  <c r="J314" i="6" s="1"/>
  <c r="K314" i="6" s="1"/>
  <c r="I315" i="6"/>
  <c r="J315" i="6" s="1"/>
  <c r="K315" i="6" s="1"/>
  <c r="I316" i="6"/>
  <c r="J316" i="6" s="1"/>
  <c r="K316" i="6" s="1"/>
  <c r="I317" i="6"/>
  <c r="J317" i="6" s="1"/>
  <c r="K317" i="6" s="1"/>
  <c r="I318" i="6"/>
  <c r="J318" i="6" s="1"/>
  <c r="K318" i="6" s="1"/>
  <c r="I319" i="6"/>
  <c r="J319" i="6" s="1"/>
  <c r="K319" i="6" s="1"/>
  <c r="I320" i="6"/>
  <c r="J320" i="6" s="1"/>
  <c r="K320" i="6" s="1"/>
  <c r="I321" i="6"/>
  <c r="J321" i="6" s="1"/>
  <c r="K321" i="6" s="1"/>
  <c r="A79" i="6"/>
  <c r="D78" i="6"/>
  <c r="B78" i="6"/>
  <c r="E257" i="1"/>
  <c r="C261" i="1" s="1"/>
  <c r="F247" i="1"/>
  <c r="G247" i="6" s="1"/>
  <c r="A79" i="1"/>
  <c r="B78" i="1"/>
  <c r="D78" i="1"/>
  <c r="Y322" i="6" l="1"/>
  <c r="N322" i="6"/>
  <c r="G323" i="6"/>
  <c r="J310" i="6"/>
  <c r="K310" i="6" s="1"/>
  <c r="J311" i="6"/>
  <c r="K311" i="6" s="1"/>
  <c r="G321" i="1"/>
  <c r="G257" i="6"/>
  <c r="H247" i="6"/>
  <c r="H257" i="6" s="1"/>
  <c r="I300" i="6"/>
  <c r="J300" i="6" s="1"/>
  <c r="K300" i="6" s="1"/>
  <c r="I301" i="6"/>
  <c r="J301" i="6" s="1"/>
  <c r="K301" i="6" s="1"/>
  <c r="I286" i="6"/>
  <c r="I287" i="6"/>
  <c r="J287" i="6" s="1"/>
  <c r="K287" i="6" s="1"/>
  <c r="A80" i="6"/>
  <c r="D79" i="6"/>
  <c r="B79" i="6"/>
  <c r="J303" i="6"/>
  <c r="J304" i="6"/>
  <c r="K304" i="6" s="1"/>
  <c r="B261" i="6"/>
  <c r="G320" i="1"/>
  <c r="G318" i="1"/>
  <c r="G316" i="1"/>
  <c r="G314" i="1"/>
  <c r="G312" i="1"/>
  <c r="G309" i="1"/>
  <c r="G307" i="1"/>
  <c r="G305" i="1"/>
  <c r="G303" i="1"/>
  <c r="G301" i="1"/>
  <c r="G299" i="1"/>
  <c r="G297" i="1"/>
  <c r="G295" i="1"/>
  <c r="G293" i="1"/>
  <c r="G291" i="1"/>
  <c r="G289" i="1"/>
  <c r="G287" i="1"/>
  <c r="G315" i="1"/>
  <c r="G317" i="1"/>
  <c r="G319" i="1"/>
  <c r="G294" i="1"/>
  <c r="G306" i="1"/>
  <c r="G296" i="1"/>
  <c r="G302" i="1"/>
  <c r="G313" i="1"/>
  <c r="G304" i="1"/>
  <c r="G308" i="1"/>
  <c r="G310" i="1"/>
  <c r="G290" i="1"/>
  <c r="G300" i="1"/>
  <c r="G288" i="1"/>
  <c r="G292" i="1"/>
  <c r="G298" i="1"/>
  <c r="B263" i="1"/>
  <c r="B264" i="1"/>
  <c r="B267" i="1"/>
  <c r="B268" i="1"/>
  <c r="B275" i="1"/>
  <c r="B262" i="1"/>
  <c r="B265" i="1"/>
  <c r="B271" i="1"/>
  <c r="B270" i="1"/>
  <c r="B269" i="1"/>
  <c r="B274" i="1"/>
  <c r="B272" i="1"/>
  <c r="B273" i="1"/>
  <c r="B266" i="1"/>
  <c r="F257" i="1"/>
  <c r="H257" i="1"/>
  <c r="H256" i="1"/>
  <c r="A80" i="1"/>
  <c r="B79" i="1"/>
  <c r="D79" i="1"/>
  <c r="I323" i="6" l="1"/>
  <c r="J286" i="6"/>
  <c r="K303" i="6"/>
  <c r="A81" i="6"/>
  <c r="D80" i="6"/>
  <c r="B80" i="6"/>
  <c r="I299" i="1"/>
  <c r="J299" i="1" s="1"/>
  <c r="K299" i="1" s="1"/>
  <c r="L299" i="6" s="1"/>
  <c r="W299" i="6" s="1"/>
  <c r="I298" i="1"/>
  <c r="J298" i="1" s="1"/>
  <c r="K298" i="1" s="1"/>
  <c r="L298" i="6" s="1"/>
  <c r="W298" i="6" s="1"/>
  <c r="I293" i="1"/>
  <c r="J293" i="1" s="1"/>
  <c r="K293" i="1" s="1"/>
  <c r="L293" i="6" s="1"/>
  <c r="W293" i="6" s="1"/>
  <c r="I292" i="1"/>
  <c r="J292" i="1" s="1"/>
  <c r="K292" i="1" s="1"/>
  <c r="L292" i="6" s="1"/>
  <c r="W292" i="6" s="1"/>
  <c r="I289" i="1"/>
  <c r="J289" i="1" s="1"/>
  <c r="K289" i="1" s="1"/>
  <c r="L289" i="6" s="1"/>
  <c r="W289" i="6" s="1"/>
  <c r="I288" i="1"/>
  <c r="J288" i="1" s="1"/>
  <c r="K288" i="1" s="1"/>
  <c r="L288" i="6" s="1"/>
  <c r="W288" i="6" s="1"/>
  <c r="I301" i="1"/>
  <c r="J301" i="1" s="1"/>
  <c r="K301" i="1" s="1"/>
  <c r="L301" i="6" s="1"/>
  <c r="W301" i="6" s="1"/>
  <c r="I300" i="1"/>
  <c r="J300" i="1" s="1"/>
  <c r="K300" i="1" s="1"/>
  <c r="L300" i="6" s="1"/>
  <c r="W300" i="6" s="1"/>
  <c r="I291" i="1"/>
  <c r="J291" i="1" s="1"/>
  <c r="K291" i="1" s="1"/>
  <c r="L291" i="6" s="1"/>
  <c r="W291" i="6" s="1"/>
  <c r="I290" i="1"/>
  <c r="J290" i="1" s="1"/>
  <c r="K290" i="1" s="1"/>
  <c r="L290" i="6" s="1"/>
  <c r="W290" i="6" s="1"/>
  <c r="I303" i="1"/>
  <c r="I302" i="1"/>
  <c r="J302" i="1" s="1"/>
  <c r="K302" i="1" s="1"/>
  <c r="L302" i="6" s="1"/>
  <c r="W302" i="6" s="1"/>
  <c r="I297" i="1"/>
  <c r="J297" i="1" s="1"/>
  <c r="K297" i="1" s="1"/>
  <c r="L297" i="6" s="1"/>
  <c r="W297" i="6" s="1"/>
  <c r="I296" i="1"/>
  <c r="J296" i="1" s="1"/>
  <c r="K296" i="1" s="1"/>
  <c r="I295" i="1"/>
  <c r="J295" i="1" s="1"/>
  <c r="K295" i="1" s="1"/>
  <c r="L295" i="6" s="1"/>
  <c r="W295" i="6" s="1"/>
  <c r="I294" i="1"/>
  <c r="J294" i="1" s="1"/>
  <c r="K294" i="1" s="1"/>
  <c r="L294" i="6" s="1"/>
  <c r="W294" i="6" s="1"/>
  <c r="I306" i="1"/>
  <c r="J306" i="1" s="1"/>
  <c r="K306" i="1" s="1"/>
  <c r="L306" i="6" s="1"/>
  <c r="I305" i="1"/>
  <c r="J305" i="1" s="1"/>
  <c r="K305" i="1" s="1"/>
  <c r="I308" i="1"/>
  <c r="J308" i="1" s="1"/>
  <c r="K308" i="1" s="1"/>
  <c r="L308" i="6" s="1"/>
  <c r="W308" i="6" s="1"/>
  <c r="I307" i="1"/>
  <c r="J307" i="1" s="1"/>
  <c r="K307" i="1" s="1"/>
  <c r="L307" i="6" s="1"/>
  <c r="W307" i="6" s="1"/>
  <c r="I310" i="1"/>
  <c r="I309" i="1"/>
  <c r="J309" i="1" s="1"/>
  <c r="K309" i="1" s="1"/>
  <c r="L309" i="6" s="1"/>
  <c r="W309" i="6" s="1"/>
  <c r="I313" i="1"/>
  <c r="J313" i="1" s="1"/>
  <c r="K313" i="1" s="1"/>
  <c r="L313" i="6" s="1"/>
  <c r="W313" i="6" s="1"/>
  <c r="I312" i="1"/>
  <c r="J312" i="1" s="1"/>
  <c r="K312" i="1" s="1"/>
  <c r="L312" i="6" s="1"/>
  <c r="W312" i="6" s="1"/>
  <c r="I315" i="1"/>
  <c r="J315" i="1" s="1"/>
  <c r="K315" i="1" s="1"/>
  <c r="L315" i="6" s="1"/>
  <c r="W315" i="6" s="1"/>
  <c r="I314" i="1"/>
  <c r="J314" i="1" s="1"/>
  <c r="K314" i="1" s="1"/>
  <c r="L314" i="6" s="1"/>
  <c r="W314" i="6" s="1"/>
  <c r="I317" i="1"/>
  <c r="J317" i="1" s="1"/>
  <c r="K317" i="1" s="1"/>
  <c r="L317" i="6" s="1"/>
  <c r="W317" i="6" s="1"/>
  <c r="I316" i="1"/>
  <c r="J316" i="1" s="1"/>
  <c r="K316" i="1" s="1"/>
  <c r="L316" i="6" s="1"/>
  <c r="W316" i="6" s="1"/>
  <c r="I319" i="1"/>
  <c r="J319" i="1" s="1"/>
  <c r="K319" i="1" s="1"/>
  <c r="L319" i="6" s="1"/>
  <c r="W319" i="6" s="1"/>
  <c r="I318" i="1"/>
  <c r="J318" i="1" s="1"/>
  <c r="K318" i="1" s="1"/>
  <c r="L318" i="6" s="1"/>
  <c r="W318" i="6" s="1"/>
  <c r="I320" i="1"/>
  <c r="J320" i="1" s="1"/>
  <c r="K320" i="1" s="1"/>
  <c r="L320" i="6" s="1"/>
  <c r="W320" i="6" s="1"/>
  <c r="I321" i="1"/>
  <c r="J321" i="1" s="1"/>
  <c r="K321" i="1" s="1"/>
  <c r="L321" i="6" s="1"/>
  <c r="W321" i="6" s="1"/>
  <c r="B261" i="1"/>
  <c r="A81" i="1"/>
  <c r="B80" i="1"/>
  <c r="D80" i="1"/>
  <c r="K286" i="6" l="1"/>
  <c r="K323" i="6" s="1"/>
  <c r="J323" i="6"/>
  <c r="K324" i="6" s="1"/>
  <c r="S302" i="6"/>
  <c r="M321" i="6"/>
  <c r="M320" i="6"/>
  <c r="M318" i="6"/>
  <c r="M319" i="6"/>
  <c r="M316" i="6"/>
  <c r="M317" i="6"/>
  <c r="M314" i="6"/>
  <c r="M315" i="6"/>
  <c r="M312" i="6"/>
  <c r="M313" i="6"/>
  <c r="M309" i="6"/>
  <c r="M307" i="6"/>
  <c r="M308" i="6"/>
  <c r="M306" i="6"/>
  <c r="M294" i="6"/>
  <c r="M295" i="6"/>
  <c r="M296" i="6"/>
  <c r="AN296" i="6" s="1"/>
  <c r="M297" i="6"/>
  <c r="M302" i="6"/>
  <c r="M290" i="6"/>
  <c r="AN290" i="6" s="1"/>
  <c r="M291" i="6"/>
  <c r="M300" i="6"/>
  <c r="M301" i="6"/>
  <c r="M288" i="6"/>
  <c r="M289" i="6"/>
  <c r="M292" i="6"/>
  <c r="AN292" i="6" s="1"/>
  <c r="M293" i="6"/>
  <c r="M298" i="6"/>
  <c r="AN298" i="6" s="1"/>
  <c r="M299" i="6"/>
  <c r="J310" i="1"/>
  <c r="K310" i="1" s="1"/>
  <c r="L310" i="6" s="1"/>
  <c r="W310" i="6" s="1"/>
  <c r="J311" i="1"/>
  <c r="K311" i="1" s="1"/>
  <c r="L311" i="6" s="1"/>
  <c r="W311" i="6" s="1"/>
  <c r="A82" i="6"/>
  <c r="D81" i="6"/>
  <c r="B81" i="6"/>
  <c r="J304" i="1"/>
  <c r="K304" i="1" s="1"/>
  <c r="L304" i="6" s="1"/>
  <c r="W304" i="6" s="1"/>
  <c r="J303" i="1"/>
  <c r="K303" i="1" s="1"/>
  <c r="L303" i="6" s="1"/>
  <c r="W303" i="6" s="1"/>
  <c r="A82" i="1"/>
  <c r="B81" i="1"/>
  <c r="D81" i="1"/>
  <c r="AA299" i="6" l="1"/>
  <c r="AN299" i="6"/>
  <c r="AA293" i="6"/>
  <c r="AN293" i="6"/>
  <c r="AA289" i="6"/>
  <c r="AN289" i="6"/>
  <c r="AA301" i="6"/>
  <c r="AN301" i="6"/>
  <c r="AA291" i="6"/>
  <c r="AN291" i="6"/>
  <c r="AA297" i="6"/>
  <c r="AN297" i="6"/>
  <c r="AA295" i="6"/>
  <c r="AN295" i="6"/>
  <c r="AA294" i="6"/>
  <c r="AN294" i="6"/>
  <c r="AA306" i="6"/>
  <c r="AN306" i="6"/>
  <c r="AA308" i="6"/>
  <c r="AN308" i="6"/>
  <c r="AA307" i="6"/>
  <c r="AN307" i="6"/>
  <c r="AA313" i="6"/>
  <c r="AN313" i="6"/>
  <c r="AA315" i="6"/>
  <c r="AN315" i="6"/>
  <c r="AA314" i="6"/>
  <c r="AN314" i="6"/>
  <c r="AA317" i="6"/>
  <c r="AN317" i="6"/>
  <c r="AA316" i="6"/>
  <c r="AN316" i="6"/>
  <c r="AA319" i="6"/>
  <c r="AN319" i="6"/>
  <c r="AA318" i="6"/>
  <c r="AN318" i="6"/>
  <c r="AA320" i="6"/>
  <c r="AN320" i="6"/>
  <c r="AA321" i="6"/>
  <c r="AN321" i="6"/>
  <c r="AA298" i="6"/>
  <c r="I254" i="6"/>
  <c r="AA292" i="6"/>
  <c r="I253" i="6"/>
  <c r="I251" i="6"/>
  <c r="I255" i="6"/>
  <c r="AA290" i="6"/>
  <c r="I252" i="6"/>
  <c r="AA296" i="6"/>
  <c r="I248" i="6"/>
  <c r="I244" i="6"/>
  <c r="I256" i="6"/>
  <c r="Y299" i="6"/>
  <c r="Y298" i="6"/>
  <c r="Y293" i="6"/>
  <c r="Y292" i="6"/>
  <c r="Y289" i="6"/>
  <c r="Y288" i="6"/>
  <c r="Y301" i="6"/>
  <c r="Y300" i="6"/>
  <c r="Y291" i="6"/>
  <c r="Y290" i="6"/>
  <c r="Y302" i="6"/>
  <c r="Y297" i="6"/>
  <c r="Y295" i="6"/>
  <c r="Y294" i="6"/>
  <c r="Y306" i="6"/>
  <c r="Y305" i="6"/>
  <c r="Y308" i="6"/>
  <c r="Y307" i="6"/>
  <c r="Y309" i="6"/>
  <c r="Y313" i="6"/>
  <c r="Y312" i="6"/>
  <c r="Y315" i="6"/>
  <c r="Y314" i="6"/>
  <c r="Y317" i="6"/>
  <c r="Y316" i="6"/>
  <c r="Y319" i="6"/>
  <c r="Y318" i="6"/>
  <c r="Y320" i="6"/>
  <c r="Y321" i="6"/>
  <c r="N299" i="6"/>
  <c r="P299" i="6" s="1"/>
  <c r="N298" i="6"/>
  <c r="P298" i="6" s="1"/>
  <c r="N293" i="6"/>
  <c r="P293" i="6" s="1"/>
  <c r="N292" i="6"/>
  <c r="P292" i="6" s="1"/>
  <c r="N289" i="6"/>
  <c r="P289" i="6" s="1"/>
  <c r="N288" i="6"/>
  <c r="N301" i="6"/>
  <c r="P301" i="6" s="1"/>
  <c r="N300" i="6"/>
  <c r="N291" i="6"/>
  <c r="P291" i="6" s="1"/>
  <c r="N290" i="6"/>
  <c r="P290" i="6" s="1"/>
  <c r="N302" i="6"/>
  <c r="N297" i="6"/>
  <c r="P297" i="6" s="1"/>
  <c r="N296" i="6"/>
  <c r="N295" i="6"/>
  <c r="P295" i="6" s="1"/>
  <c r="N294" i="6"/>
  <c r="P294" i="6" s="1"/>
  <c r="N306" i="6"/>
  <c r="P306" i="6" s="1"/>
  <c r="N305" i="6"/>
  <c r="N308" i="6"/>
  <c r="P308" i="6" s="1"/>
  <c r="N307" i="6"/>
  <c r="P307" i="6" s="1"/>
  <c r="N309" i="6"/>
  <c r="N313" i="6"/>
  <c r="P313" i="6" s="1"/>
  <c r="N312" i="6"/>
  <c r="N315" i="6"/>
  <c r="P315" i="6" s="1"/>
  <c r="N314" i="6"/>
  <c r="P314" i="6" s="1"/>
  <c r="N317" i="6"/>
  <c r="P317" i="6" s="1"/>
  <c r="N316" i="6"/>
  <c r="P316" i="6" s="1"/>
  <c r="N319" i="6"/>
  <c r="P319" i="6" s="1"/>
  <c r="N318" i="6"/>
  <c r="P318" i="6" s="1"/>
  <c r="N320" i="6"/>
  <c r="P320" i="6" s="1"/>
  <c r="N321" i="6"/>
  <c r="P321" i="6" s="1"/>
  <c r="S303" i="6"/>
  <c r="S311" i="6"/>
  <c r="S310" i="6"/>
  <c r="M303" i="6"/>
  <c r="M304" i="6"/>
  <c r="M311" i="6"/>
  <c r="M310" i="6"/>
  <c r="AN310" i="6" s="1"/>
  <c r="A83" i="6"/>
  <c r="D82" i="6"/>
  <c r="B82" i="6"/>
  <c r="A83" i="1"/>
  <c r="B82" i="1"/>
  <c r="D82" i="1"/>
  <c r="AA311" i="6" l="1"/>
  <c r="AN311" i="6"/>
  <c r="AA310" i="6"/>
  <c r="I246" i="6"/>
  <c r="I249" i="6"/>
  <c r="I243" i="6"/>
  <c r="Y304" i="6"/>
  <c r="Y303" i="6"/>
  <c r="Q321" i="6"/>
  <c r="R321" i="6" s="1"/>
  <c r="AI321" i="6" s="1"/>
  <c r="Q320" i="6"/>
  <c r="R320" i="6" s="1"/>
  <c r="AI320" i="6" s="1"/>
  <c r="Q318" i="6"/>
  <c r="R318" i="6" s="1"/>
  <c r="AI318" i="6" s="1"/>
  <c r="Q319" i="6"/>
  <c r="R319" i="6" s="1"/>
  <c r="AI319" i="6" s="1"/>
  <c r="Q316" i="6"/>
  <c r="R316" i="6" s="1"/>
  <c r="AI316" i="6" s="1"/>
  <c r="Q317" i="6"/>
  <c r="R317" i="6" s="1"/>
  <c r="AI317" i="6" s="1"/>
  <c r="Q314" i="6"/>
  <c r="R314" i="6" s="1"/>
  <c r="AI314" i="6" s="1"/>
  <c r="Q315" i="6"/>
  <c r="R315" i="6" s="1"/>
  <c r="AI315" i="6" s="1"/>
  <c r="Q313" i="6"/>
  <c r="R313" i="6" s="1"/>
  <c r="AI313" i="6" s="1"/>
  <c r="Q307" i="6"/>
  <c r="R307" i="6" s="1"/>
  <c r="AI307" i="6" s="1"/>
  <c r="Q308" i="6"/>
  <c r="R308" i="6" s="1"/>
  <c r="AI308" i="6" s="1"/>
  <c r="Q306" i="6"/>
  <c r="R306" i="6" s="1"/>
  <c r="AI306" i="6" s="1"/>
  <c r="Q294" i="6"/>
  <c r="R294" i="6" s="1"/>
  <c r="AI294" i="6" s="1"/>
  <c r="Q295" i="6"/>
  <c r="R295" i="6" s="1"/>
  <c r="AI295" i="6" s="1"/>
  <c r="Q297" i="6"/>
  <c r="R297" i="6" s="1"/>
  <c r="AI297" i="6" s="1"/>
  <c r="Q290" i="6"/>
  <c r="R290" i="6" s="1"/>
  <c r="AI290" i="6" s="1"/>
  <c r="Q291" i="6"/>
  <c r="R291" i="6" s="1"/>
  <c r="AI291" i="6" s="1"/>
  <c r="Q301" i="6"/>
  <c r="R301" i="6" s="1"/>
  <c r="AI301" i="6" s="1"/>
  <c r="Q289" i="6"/>
  <c r="R289" i="6" s="1"/>
  <c r="AI289" i="6" s="1"/>
  <c r="Q292" i="6"/>
  <c r="R292" i="6" s="1"/>
  <c r="AI292" i="6" s="1"/>
  <c r="Q293" i="6"/>
  <c r="R293" i="6" s="1"/>
  <c r="AI293" i="6" s="1"/>
  <c r="Q298" i="6"/>
  <c r="R298" i="6" s="1"/>
  <c r="AI298" i="6" s="1"/>
  <c r="Q299" i="6"/>
  <c r="R299" i="6" s="1"/>
  <c r="AI299" i="6" s="1"/>
  <c r="N310" i="6"/>
  <c r="N311" i="6"/>
  <c r="P311" i="6" s="1"/>
  <c r="Q311" i="6" s="1"/>
  <c r="R311" i="6" s="1"/>
  <c r="AI311" i="6" s="1"/>
  <c r="N304" i="6"/>
  <c r="N303" i="6"/>
  <c r="S323" i="6"/>
  <c r="A84" i="6"/>
  <c r="D83" i="6"/>
  <c r="B83" i="6"/>
  <c r="A84" i="1"/>
  <c r="B83" i="1"/>
  <c r="D83" i="1"/>
  <c r="Z311" i="6" l="1"/>
  <c r="X311" i="6"/>
  <c r="Z299" i="6"/>
  <c r="X299" i="6"/>
  <c r="Z298" i="6"/>
  <c r="X298" i="6"/>
  <c r="Z293" i="6"/>
  <c r="X293" i="6"/>
  <c r="Z292" i="6"/>
  <c r="X292" i="6"/>
  <c r="Z289" i="6"/>
  <c r="X289" i="6"/>
  <c r="Z301" i="6"/>
  <c r="X301" i="6"/>
  <c r="Z291" i="6"/>
  <c r="X291" i="6"/>
  <c r="Z290" i="6"/>
  <c r="X290" i="6"/>
  <c r="Z297" i="6"/>
  <c r="X297" i="6"/>
  <c r="Z295" i="6"/>
  <c r="X295" i="6"/>
  <c r="Z294" i="6"/>
  <c r="X294" i="6"/>
  <c r="X306" i="6"/>
  <c r="Z308" i="6"/>
  <c r="X308" i="6"/>
  <c r="Z307" i="6"/>
  <c r="X307" i="6"/>
  <c r="Z313" i="6"/>
  <c r="X313" i="6"/>
  <c r="Z315" i="6"/>
  <c r="X315" i="6"/>
  <c r="Z314" i="6"/>
  <c r="X314" i="6"/>
  <c r="Z317" i="6"/>
  <c r="X317" i="6"/>
  <c r="Z316" i="6"/>
  <c r="X316" i="6"/>
  <c r="Z319" i="6"/>
  <c r="X319" i="6"/>
  <c r="Z318" i="6"/>
  <c r="X318" i="6"/>
  <c r="Z320" i="6"/>
  <c r="X320" i="6"/>
  <c r="Z321" i="6"/>
  <c r="X321" i="6"/>
  <c r="Y311" i="6"/>
  <c r="A85" i="6"/>
  <c r="D84" i="6"/>
  <c r="B84" i="6"/>
  <c r="A85" i="1"/>
  <c r="B84" i="1"/>
  <c r="D84" i="1"/>
  <c r="AD321" i="6" l="1"/>
  <c r="AE321" i="6" s="1"/>
  <c r="AF321" i="6"/>
  <c r="AJ321" i="6"/>
  <c r="AD320" i="6"/>
  <c r="AE320" i="6" s="1"/>
  <c r="AF320" i="6"/>
  <c r="AJ320" i="6"/>
  <c r="AD318" i="6"/>
  <c r="AE318" i="6" s="1"/>
  <c r="AF318" i="6"/>
  <c r="AJ318" i="6"/>
  <c r="AD319" i="6"/>
  <c r="AE319" i="6" s="1"/>
  <c r="AF319" i="6"/>
  <c r="AJ319" i="6"/>
  <c r="AD316" i="6"/>
  <c r="AE316" i="6" s="1"/>
  <c r="AF316" i="6"/>
  <c r="AJ316" i="6"/>
  <c r="AD317" i="6"/>
  <c r="AE317" i="6" s="1"/>
  <c r="AF317" i="6"/>
  <c r="AJ317" i="6"/>
  <c r="AD314" i="6"/>
  <c r="AE314" i="6" s="1"/>
  <c r="AF314" i="6"/>
  <c r="AJ314" i="6"/>
  <c r="AD315" i="6"/>
  <c r="AE315" i="6" s="1"/>
  <c r="AF315" i="6"/>
  <c r="AJ315" i="6"/>
  <c r="AD313" i="6"/>
  <c r="AE313" i="6" s="1"/>
  <c r="AF313" i="6"/>
  <c r="AJ313" i="6"/>
  <c r="AD307" i="6"/>
  <c r="AE307" i="6" s="1"/>
  <c r="AF307" i="6"/>
  <c r="AJ307" i="6"/>
  <c r="AD308" i="6"/>
  <c r="AE308" i="6" s="1"/>
  <c r="AF308" i="6"/>
  <c r="AJ308" i="6"/>
  <c r="AD306" i="6"/>
  <c r="AE306" i="6" s="1"/>
  <c r="AF306" i="6"/>
  <c r="AJ306" i="6"/>
  <c r="AD294" i="6"/>
  <c r="AE294" i="6" s="1"/>
  <c r="AF294" i="6"/>
  <c r="AJ294" i="6"/>
  <c r="AD295" i="6"/>
  <c r="AE295" i="6" s="1"/>
  <c r="AF295" i="6"/>
  <c r="AJ295" i="6"/>
  <c r="AD297" i="6"/>
  <c r="AE297" i="6" s="1"/>
  <c r="AF297" i="6"/>
  <c r="AJ297" i="6"/>
  <c r="AD290" i="6"/>
  <c r="AE290" i="6" s="1"/>
  <c r="AF290" i="6"/>
  <c r="AJ290" i="6"/>
  <c r="AD291" i="6"/>
  <c r="AE291" i="6" s="1"/>
  <c r="AF291" i="6"/>
  <c r="AJ291" i="6"/>
  <c r="AD301" i="6"/>
  <c r="AE301" i="6" s="1"/>
  <c r="AF301" i="6"/>
  <c r="AJ301" i="6"/>
  <c r="AD289" i="6"/>
  <c r="AE289" i="6" s="1"/>
  <c r="AF289" i="6"/>
  <c r="AJ289" i="6"/>
  <c r="AD292" i="6"/>
  <c r="AE292" i="6" s="1"/>
  <c r="AF292" i="6"/>
  <c r="AJ292" i="6"/>
  <c r="AD293" i="6"/>
  <c r="AE293" i="6" s="1"/>
  <c r="AF293" i="6"/>
  <c r="AJ293" i="6"/>
  <c r="AD298" i="6"/>
  <c r="AE298" i="6" s="1"/>
  <c r="AF298" i="6"/>
  <c r="AJ298" i="6"/>
  <c r="AD299" i="6"/>
  <c r="AE299" i="6" s="1"/>
  <c r="AF299" i="6"/>
  <c r="AJ299" i="6"/>
  <c r="AD311" i="6"/>
  <c r="AE311" i="6" s="1"/>
  <c r="AF311" i="6"/>
  <c r="AJ311" i="6"/>
  <c r="A86" i="6"/>
  <c r="D85" i="6"/>
  <c r="B85" i="6"/>
  <c r="A86" i="1"/>
  <c r="B85" i="1"/>
  <c r="D85" i="1"/>
  <c r="AK311" i="6" l="1"/>
  <c r="AK299" i="6"/>
  <c r="AK298" i="6"/>
  <c r="AK293" i="6"/>
  <c r="AK292" i="6"/>
  <c r="AK289" i="6"/>
  <c r="AK301" i="6"/>
  <c r="AK291" i="6"/>
  <c r="AK290" i="6"/>
  <c r="AK297" i="6"/>
  <c r="AK295" i="6"/>
  <c r="AK294" i="6"/>
  <c r="AK306" i="6"/>
  <c r="AK308" i="6"/>
  <c r="AK307" i="6"/>
  <c r="AK313" i="6"/>
  <c r="AK315" i="6"/>
  <c r="AK314" i="6"/>
  <c r="AK317" i="6"/>
  <c r="AK316" i="6"/>
  <c r="AK319" i="6"/>
  <c r="AK318" i="6"/>
  <c r="AK320" i="6"/>
  <c r="AK321" i="6"/>
  <c r="A87" i="6"/>
  <c r="D86" i="6"/>
  <c r="B86" i="6"/>
  <c r="A87" i="1"/>
  <c r="B86" i="1"/>
  <c r="D86" i="1"/>
  <c r="A88" i="6" l="1"/>
  <c r="D87" i="6"/>
  <c r="B87" i="6"/>
  <c r="A88" i="1"/>
  <c r="B87" i="1"/>
  <c r="D87" i="1"/>
  <c r="A89" i="6" l="1"/>
  <c r="D88" i="6"/>
  <c r="B88" i="6"/>
  <c r="A89" i="1"/>
  <c r="B88" i="1"/>
  <c r="D88" i="1"/>
  <c r="A90" i="6" l="1"/>
  <c r="D89" i="6"/>
  <c r="B89" i="6"/>
  <c r="A90" i="1"/>
  <c r="B89" i="1"/>
  <c r="D89" i="1"/>
  <c r="A91" i="6" l="1"/>
  <c r="D90" i="6"/>
  <c r="B90" i="6"/>
  <c r="A91" i="1"/>
  <c r="B90" i="1"/>
  <c r="D90" i="1"/>
  <c r="A92" i="6" l="1"/>
  <c r="D91" i="6"/>
  <c r="B91" i="6"/>
  <c r="A92" i="1"/>
  <c r="B91" i="1"/>
  <c r="D91" i="1"/>
  <c r="A93" i="6" l="1"/>
  <c r="D92" i="6"/>
  <c r="B92" i="6"/>
  <c r="A93" i="1"/>
  <c r="B92" i="1"/>
  <c r="D92" i="1"/>
  <c r="A94" i="6" l="1"/>
  <c r="D93" i="6"/>
  <c r="B93" i="6"/>
  <c r="A94" i="1"/>
  <c r="B93" i="1"/>
  <c r="D93" i="1"/>
  <c r="A95" i="6" l="1"/>
  <c r="D94" i="6"/>
  <c r="B94" i="6"/>
  <c r="B94" i="1"/>
  <c r="D94" i="1"/>
  <c r="A95" i="1"/>
  <c r="A96" i="6" l="1"/>
  <c r="D95" i="6"/>
  <c r="B95" i="6"/>
  <c r="B95" i="1"/>
  <c r="D95" i="1"/>
  <c r="A96" i="1"/>
  <c r="A97" i="6" l="1"/>
  <c r="D96" i="6"/>
  <c r="B96" i="6"/>
  <c r="B96" i="1"/>
  <c r="D96" i="1"/>
  <c r="A97" i="1"/>
  <c r="A98" i="6" l="1"/>
  <c r="D97" i="6"/>
  <c r="B97" i="6"/>
  <c r="B97" i="1"/>
  <c r="D97" i="1"/>
  <c r="A98" i="1"/>
  <c r="A99" i="6" l="1"/>
  <c r="D98" i="6"/>
  <c r="B98" i="6"/>
  <c r="B98" i="1"/>
  <c r="D98" i="1"/>
  <c r="A99" i="1"/>
  <c r="A100" i="6" l="1"/>
  <c r="D99" i="6"/>
  <c r="B99" i="6"/>
  <c r="B99" i="1"/>
  <c r="D99" i="1"/>
  <c r="A100" i="1"/>
  <c r="A101" i="6" l="1"/>
  <c r="D100" i="6"/>
  <c r="B100" i="6"/>
  <c r="B100" i="1"/>
  <c r="D100" i="1"/>
  <c r="A101" i="1"/>
  <c r="A102" i="6" l="1"/>
  <c r="D101" i="6"/>
  <c r="B101" i="6"/>
  <c r="B101" i="1"/>
  <c r="D101" i="1"/>
  <c r="A102" i="1"/>
  <c r="A103" i="6" l="1"/>
  <c r="D102" i="6"/>
  <c r="B102" i="6"/>
  <c r="B102" i="1"/>
  <c r="D102" i="1"/>
  <c r="A103" i="1"/>
  <c r="A104" i="6" l="1"/>
  <c r="D103" i="6"/>
  <c r="B103" i="6"/>
  <c r="B103" i="1"/>
  <c r="D103" i="1"/>
  <c r="A104" i="1"/>
  <c r="A105" i="6" l="1"/>
  <c r="D104" i="6"/>
  <c r="B104" i="6"/>
  <c r="B104" i="1"/>
  <c r="D104" i="1"/>
  <c r="A105" i="1"/>
  <c r="D105" i="6" l="1"/>
  <c r="B180" i="6" s="1"/>
  <c r="B105" i="6"/>
  <c r="B105" i="1"/>
  <c r="D105" i="1"/>
  <c r="B180" i="1" s="1"/>
  <c r="G13" i="1"/>
  <c r="H13" i="1" l="1"/>
  <c r="R13" i="1"/>
  <c r="G286" i="1"/>
  <c r="G322" i="1" l="1"/>
  <c r="I287" i="1"/>
  <c r="J287" i="1" s="1"/>
  <c r="K287" i="1" s="1"/>
  <c r="L287" i="6" s="1"/>
  <c r="W287" i="6" s="1"/>
  <c r="I286" i="1"/>
  <c r="M287" i="6" l="1"/>
  <c r="I322" i="1"/>
  <c r="J286" i="1"/>
  <c r="AA287" i="6" l="1"/>
  <c r="AN287" i="6"/>
  <c r="Y287" i="6"/>
  <c r="N287" i="6"/>
  <c r="P287" i="6" s="1"/>
  <c r="J322" i="1"/>
  <c r="M322" i="1" s="1"/>
  <c r="K286" i="1"/>
  <c r="L286" i="6" s="1"/>
  <c r="W286" i="6" s="1"/>
  <c r="W323" i="6" s="1"/>
  <c r="L323" i="6" l="1"/>
  <c r="Q287" i="6"/>
  <c r="R287" i="6" s="1"/>
  <c r="AI287" i="6" s="1"/>
  <c r="K322" i="1"/>
  <c r="Z287" i="6" l="1"/>
  <c r="X287" i="6"/>
  <c r="L324" i="6"/>
  <c r="M286" i="6"/>
  <c r="AN286" i="6" s="1"/>
  <c r="AD287" i="6" l="1"/>
  <c r="AE287" i="6" s="1"/>
  <c r="AF287" i="6"/>
  <c r="AJ287" i="6"/>
  <c r="AA286" i="6"/>
  <c r="I250" i="6"/>
  <c r="I247" i="6" s="1"/>
  <c r="N286" i="6"/>
  <c r="O283" i="6"/>
  <c r="P283" i="6"/>
  <c r="M323" i="6"/>
  <c r="M324" i="6"/>
  <c r="AK287" i="6" l="1"/>
  <c r="P286" i="6"/>
  <c r="P322" i="6"/>
  <c r="P312" i="6"/>
  <c r="Q312" i="6" s="1"/>
  <c r="R312" i="6" s="1"/>
  <c r="AI312" i="6" s="1"/>
  <c r="P309" i="6"/>
  <c r="Q309" i="6" s="1"/>
  <c r="R309" i="6" s="1"/>
  <c r="AI309" i="6" s="1"/>
  <c r="P305" i="6"/>
  <c r="P296" i="6"/>
  <c r="Q296" i="6" s="1"/>
  <c r="R296" i="6" s="1"/>
  <c r="AI296" i="6" s="1"/>
  <c r="P302" i="6"/>
  <c r="Q302" i="6" s="1"/>
  <c r="R302" i="6" s="1"/>
  <c r="AI302" i="6" s="1"/>
  <c r="P300" i="6"/>
  <c r="Q300" i="6" s="1"/>
  <c r="R300" i="6" s="1"/>
  <c r="AI300" i="6" s="1"/>
  <c r="P288" i="6"/>
  <c r="P303" i="6"/>
  <c r="Q303" i="6" s="1"/>
  <c r="R303" i="6" s="1"/>
  <c r="AI303" i="6" s="1"/>
  <c r="P304" i="6"/>
  <c r="P310" i="6"/>
  <c r="Q310" i="6" s="1"/>
  <c r="R310" i="6" s="1"/>
  <c r="AI310" i="6" s="1"/>
  <c r="Z310" i="6" l="1"/>
  <c r="X310" i="6"/>
  <c r="Z303" i="6"/>
  <c r="X303" i="6"/>
  <c r="Z300" i="6"/>
  <c r="X300" i="6"/>
  <c r="Z302" i="6"/>
  <c r="X302" i="6"/>
  <c r="Z296" i="6"/>
  <c r="X296" i="6"/>
  <c r="Z309" i="6"/>
  <c r="X309" i="6"/>
  <c r="Z312" i="6"/>
  <c r="X312" i="6"/>
  <c r="Q304" i="6"/>
  <c r="R304" i="6" s="1"/>
  <c r="AI304" i="6" s="1"/>
  <c r="Q288" i="6"/>
  <c r="R288" i="6" s="1"/>
  <c r="Q305" i="6"/>
  <c r="R305" i="6" s="1"/>
  <c r="AI305" i="6" s="1"/>
  <c r="Q322" i="6"/>
  <c r="R322" i="6" s="1"/>
  <c r="AI322" i="6" s="1"/>
  <c r="Q286" i="6"/>
  <c r="Y296" i="6"/>
  <c r="Y310" i="6"/>
  <c r="AI288" i="6" l="1"/>
  <c r="Z288" i="6"/>
  <c r="AJ312" i="6"/>
  <c r="AJ309" i="6"/>
  <c r="AD296" i="6"/>
  <c r="AE296" i="6" s="1"/>
  <c r="AF296" i="6"/>
  <c r="AJ296" i="6"/>
  <c r="AJ302" i="6"/>
  <c r="AJ300" i="6"/>
  <c r="AJ303" i="6"/>
  <c r="AD310" i="6"/>
  <c r="AE310" i="6" s="1"/>
  <c r="AF310" i="6"/>
  <c r="AJ310" i="6"/>
  <c r="AA312" i="6"/>
  <c r="AD312" i="6"/>
  <c r="AA309" i="6"/>
  <c r="AD309" i="6"/>
  <c r="AA302" i="6"/>
  <c r="AD302" i="6"/>
  <c r="AA300" i="6"/>
  <c r="AD300" i="6"/>
  <c r="AA303" i="6"/>
  <c r="AD303" i="6"/>
  <c r="Q323" i="6"/>
  <c r="R286" i="6"/>
  <c r="AI286" i="6" s="1"/>
  <c r="Z322" i="6"/>
  <c r="X322" i="6"/>
  <c r="AA305" i="6"/>
  <c r="X305" i="6"/>
  <c r="X288" i="6"/>
  <c r="Z304" i="6"/>
  <c r="X304" i="6"/>
  <c r="AJ304" i="6" l="1"/>
  <c r="AD305" i="6"/>
  <c r="AE305" i="6" s="1"/>
  <c r="AF305" i="6"/>
  <c r="AJ305" i="6"/>
  <c r="AJ322" i="6"/>
  <c r="AI323" i="6"/>
  <c r="AE303" i="6"/>
  <c r="AF303" i="6"/>
  <c r="AE300" i="6"/>
  <c r="AF300" i="6"/>
  <c r="AE302" i="6"/>
  <c r="AF302" i="6"/>
  <c r="AE309" i="6"/>
  <c r="AF309" i="6"/>
  <c r="AE312" i="6"/>
  <c r="AF312" i="6"/>
  <c r="AK310" i="6"/>
  <c r="AK303" i="6"/>
  <c r="AK300" i="6"/>
  <c r="AK302" i="6"/>
  <c r="AK296" i="6"/>
  <c r="AK309" i="6"/>
  <c r="AK312" i="6"/>
  <c r="AJ288" i="6"/>
  <c r="AA304" i="6"/>
  <c r="AD304" i="6"/>
  <c r="AA288" i="6"/>
  <c r="AD288" i="6"/>
  <c r="AA322" i="6"/>
  <c r="AD322" i="6"/>
  <c r="Z286" i="6"/>
  <c r="X286" i="6"/>
  <c r="R323" i="6"/>
  <c r="AJ286" i="6" l="1"/>
  <c r="AE322" i="6"/>
  <c r="AF322" i="6"/>
  <c r="AE304" i="6"/>
  <c r="AF304" i="6"/>
  <c r="AK288" i="6"/>
  <c r="AK322" i="6"/>
  <c r="AK305" i="6"/>
  <c r="AK304" i="6"/>
  <c r="AF288" i="6"/>
  <c r="AE288" i="6"/>
  <c r="Z323" i="6"/>
  <c r="AD286" i="6"/>
  <c r="AA323" i="6"/>
  <c r="X323" i="6"/>
  <c r="X324" i="6" s="1"/>
  <c r="Y286" i="6"/>
  <c r="Y323" i="6" s="1"/>
  <c r="AE286" i="6" l="1"/>
  <c r="AF286" i="6"/>
  <c r="AD323" i="6"/>
  <c r="AE323" i="6"/>
  <c r="AK286" i="6"/>
  <c r="AJ323" i="6"/>
  <c r="AF323" i="6"/>
  <c r="AB322" i="6"/>
  <c r="AC322" i="6" s="1"/>
  <c r="AB287" i="6"/>
  <c r="AC287" i="6" s="1"/>
  <c r="AB288" i="6"/>
  <c r="AC288" i="6" s="1"/>
  <c r="AB289" i="6"/>
  <c r="AC289" i="6" s="1"/>
  <c r="AB290" i="6"/>
  <c r="AC290" i="6" s="1"/>
  <c r="AB291" i="6"/>
  <c r="AC291" i="6" s="1"/>
  <c r="AB292" i="6"/>
  <c r="AC292" i="6" s="1"/>
  <c r="AB293" i="6"/>
  <c r="AC293" i="6" s="1"/>
  <c r="AB294" i="6"/>
  <c r="AC294" i="6" s="1"/>
  <c r="AB295" i="6"/>
  <c r="AC295" i="6" s="1"/>
  <c r="AB296" i="6"/>
  <c r="AC296" i="6" s="1"/>
  <c r="AB297" i="6"/>
  <c r="AC297" i="6" s="1"/>
  <c r="AB298" i="6"/>
  <c r="AC298" i="6" s="1"/>
  <c r="AB299" i="6"/>
  <c r="AC299" i="6" s="1"/>
  <c r="AB300" i="6"/>
  <c r="AC300" i="6" s="1"/>
  <c r="AB301" i="6"/>
  <c r="AC301" i="6" s="1"/>
  <c r="AB302" i="6"/>
  <c r="AC302" i="6" s="1"/>
  <c r="AB303" i="6"/>
  <c r="AC303" i="6" s="1"/>
  <c r="AB304" i="6"/>
  <c r="AC304" i="6" s="1"/>
  <c r="AB305" i="6"/>
  <c r="AC305" i="6" s="1"/>
  <c r="AB306" i="6"/>
  <c r="AC306" i="6" s="1"/>
  <c r="AB307" i="6"/>
  <c r="AC307" i="6" s="1"/>
  <c r="AB308" i="6"/>
  <c r="AC308" i="6" s="1"/>
  <c r="AB309" i="6"/>
  <c r="AC309" i="6" s="1"/>
  <c r="AB310" i="6"/>
  <c r="AC310" i="6" s="1"/>
  <c r="AB311" i="6"/>
  <c r="AC311" i="6" s="1"/>
  <c r="AB312" i="6"/>
  <c r="AC312" i="6" s="1"/>
  <c r="AB313" i="6"/>
  <c r="AC313" i="6" s="1"/>
  <c r="AB314" i="6"/>
  <c r="AC314" i="6" s="1"/>
  <c r="AB315" i="6"/>
  <c r="AC315" i="6" s="1"/>
  <c r="AB316" i="6"/>
  <c r="AC316" i="6" s="1"/>
  <c r="AB317" i="6"/>
  <c r="AC317" i="6" s="1"/>
  <c r="AB318" i="6"/>
  <c r="AC318" i="6" s="1"/>
  <c r="AB319" i="6"/>
  <c r="AC319" i="6" s="1"/>
  <c r="AB320" i="6"/>
  <c r="AC320" i="6" s="1"/>
  <c r="AB321" i="6"/>
  <c r="AC321" i="6" s="1"/>
  <c r="AB286" i="6"/>
  <c r="AK323" i="6" l="1"/>
  <c r="AG287" i="6"/>
  <c r="AG289" i="6"/>
  <c r="AG290" i="6"/>
  <c r="AG291" i="6"/>
  <c r="AG292" i="6"/>
  <c r="AG293" i="6"/>
  <c r="AG294" i="6"/>
  <c r="AG295" i="6"/>
  <c r="AG296" i="6"/>
  <c r="AG297" i="6"/>
  <c r="AG298" i="6"/>
  <c r="AG299" i="6"/>
  <c r="AG300" i="6"/>
  <c r="AG301" i="6"/>
  <c r="AG302" i="6"/>
  <c r="AG303" i="6"/>
  <c r="AG304" i="6"/>
  <c r="AG305" i="6"/>
  <c r="AG306" i="6"/>
  <c r="AG307" i="6"/>
  <c r="AG308" i="6"/>
  <c r="AG309" i="6"/>
  <c r="AG310" i="6"/>
  <c r="AG311" i="6"/>
  <c r="AG312" i="6"/>
  <c r="AG313" i="6"/>
  <c r="AG314" i="6"/>
  <c r="AG315" i="6"/>
  <c r="AG316" i="6"/>
  <c r="AG317" i="6"/>
  <c r="AG318" i="6"/>
  <c r="AG319" i="6"/>
  <c r="AG320" i="6"/>
  <c r="AG321" i="6"/>
  <c r="AG322" i="6"/>
  <c r="AG286" i="6"/>
  <c r="AG288" i="6"/>
  <c r="AC286" i="6"/>
  <c r="AB323" i="6"/>
  <c r="J256" i="6"/>
  <c r="K256" i="6" s="1"/>
  <c r="J246" i="6"/>
  <c r="K246" i="6" s="1"/>
  <c r="J244" i="6"/>
  <c r="J249" i="6"/>
  <c r="K249" i="6" s="1"/>
  <c r="J255" i="6"/>
  <c r="K255" i="6" s="1"/>
  <c r="J254" i="6"/>
  <c r="K254" i="6" s="1"/>
  <c r="J248" i="6"/>
  <c r="J253" i="6"/>
  <c r="K253" i="6" s="1"/>
  <c r="J252" i="6"/>
  <c r="K252" i="6" s="1"/>
  <c r="J251" i="6"/>
  <c r="K251" i="6" s="1"/>
  <c r="AG323" i="6" l="1"/>
  <c r="AL323" i="6" s="1"/>
  <c r="K248" i="6"/>
  <c r="J243" i="6"/>
  <c r="K243" i="6" s="1"/>
  <c r="K244" i="6"/>
  <c r="AC323" i="6"/>
  <c r="J250" i="6"/>
  <c r="AL321" i="6" l="1"/>
  <c r="AM321" i="6" s="1"/>
  <c r="AL320" i="6"/>
  <c r="AM320" i="6" s="1"/>
  <c r="AL318" i="6"/>
  <c r="AM318" i="6" s="1"/>
  <c r="AL319" i="6"/>
  <c r="AM319" i="6" s="1"/>
  <c r="AL316" i="6"/>
  <c r="AM316" i="6" s="1"/>
  <c r="AL317" i="6"/>
  <c r="AM317" i="6" s="1"/>
  <c r="AL314" i="6"/>
  <c r="AM314" i="6" s="1"/>
  <c r="AL315" i="6"/>
  <c r="AM315" i="6" s="1"/>
  <c r="AL313" i="6"/>
  <c r="AM313" i="6" s="1"/>
  <c r="AL307" i="6"/>
  <c r="AM307" i="6" s="1"/>
  <c r="AL308" i="6"/>
  <c r="AM308" i="6" s="1"/>
  <c r="AL306" i="6"/>
  <c r="AM306" i="6" s="1"/>
  <c r="AL294" i="6"/>
  <c r="AM294" i="6" s="1"/>
  <c r="AL295" i="6"/>
  <c r="AM295" i="6" s="1"/>
  <c r="AL297" i="6"/>
  <c r="AM297" i="6" s="1"/>
  <c r="AL290" i="6"/>
  <c r="AM290" i="6" s="1"/>
  <c r="AL291" i="6"/>
  <c r="AM291" i="6" s="1"/>
  <c r="AL301" i="6"/>
  <c r="AM301" i="6" s="1"/>
  <c r="AL289" i="6"/>
  <c r="AM289" i="6" s="1"/>
  <c r="AL292" i="6"/>
  <c r="AM292" i="6" s="1"/>
  <c r="AL293" i="6"/>
  <c r="AM293" i="6" s="1"/>
  <c r="AL298" i="6"/>
  <c r="AM298" i="6" s="1"/>
  <c r="AL299" i="6"/>
  <c r="AM299" i="6" s="1"/>
  <c r="AL311" i="6"/>
  <c r="AM311" i="6" s="1"/>
  <c r="AL287" i="6"/>
  <c r="AM287" i="6" s="1"/>
  <c r="AL312" i="6"/>
  <c r="AM312" i="6" s="1"/>
  <c r="AL309" i="6"/>
  <c r="AM309" i="6" s="1"/>
  <c r="AL296" i="6"/>
  <c r="AM296" i="6" s="1"/>
  <c r="AL302" i="6"/>
  <c r="AM302" i="6" s="1"/>
  <c r="AL300" i="6"/>
  <c r="AM300" i="6" s="1"/>
  <c r="AL303" i="6"/>
  <c r="AM303" i="6" s="1"/>
  <c r="AL310" i="6"/>
  <c r="AM310" i="6" s="1"/>
  <c r="AL304" i="6"/>
  <c r="AM304" i="6" s="1"/>
  <c r="AL305" i="6"/>
  <c r="AM305" i="6" s="1"/>
  <c r="AN305" i="6" s="1"/>
  <c r="AL322" i="6"/>
  <c r="AM322" i="6" s="1"/>
  <c r="AL288" i="6"/>
  <c r="AM288" i="6" s="1"/>
  <c r="AL286" i="6"/>
  <c r="AM286" i="6" s="1"/>
  <c r="K250" i="6"/>
  <c r="J247" i="6"/>
  <c r="J257" i="6" s="1"/>
  <c r="AM323" i="6" l="1"/>
  <c r="AN288" i="6"/>
  <c r="AN322" i="6"/>
  <c r="AN304" i="6"/>
  <c r="AN303" i="6"/>
  <c r="AN300" i="6"/>
  <c r="AN302" i="6"/>
  <c r="AN309" i="6"/>
  <c r="AN312" i="6"/>
  <c r="AN323" i="6" l="1"/>
  <c r="AO287" i="6" l="1"/>
  <c r="AP287" i="6" s="1"/>
  <c r="AO288" i="6"/>
  <c r="AP288" i="6" s="1"/>
  <c r="AO289" i="6"/>
  <c r="AP289" i="6" s="1"/>
  <c r="AO290" i="6"/>
  <c r="AP290" i="6" s="1"/>
  <c r="AO291" i="6"/>
  <c r="AP291" i="6" s="1"/>
  <c r="AO292" i="6"/>
  <c r="AP292" i="6" s="1"/>
  <c r="AO293" i="6"/>
  <c r="AP293" i="6" s="1"/>
  <c r="AO294" i="6"/>
  <c r="AP294" i="6" s="1"/>
  <c r="AO295" i="6"/>
  <c r="AP295" i="6" s="1"/>
  <c r="AO296" i="6"/>
  <c r="AP296" i="6" s="1"/>
  <c r="AO297" i="6"/>
  <c r="AP297" i="6" s="1"/>
  <c r="AO298" i="6"/>
  <c r="AP298" i="6" s="1"/>
  <c r="AO299" i="6"/>
  <c r="AP299" i="6" s="1"/>
  <c r="AO300" i="6"/>
  <c r="AP300" i="6" s="1"/>
  <c r="AO301" i="6"/>
  <c r="AP301" i="6" s="1"/>
  <c r="AO302" i="6"/>
  <c r="AP302" i="6" s="1"/>
  <c r="AO303" i="6"/>
  <c r="AP303" i="6" s="1"/>
  <c r="AO304" i="6"/>
  <c r="AP304" i="6" s="1"/>
  <c r="AO305" i="6"/>
  <c r="AP305" i="6" s="1"/>
  <c r="AO306" i="6"/>
  <c r="AP306" i="6" s="1"/>
  <c r="AO307" i="6"/>
  <c r="AP307" i="6" s="1"/>
  <c r="AO308" i="6"/>
  <c r="AP308" i="6" s="1"/>
  <c r="AO309" i="6"/>
  <c r="AP309" i="6" s="1"/>
  <c r="AO310" i="6"/>
  <c r="AP310" i="6" s="1"/>
  <c r="AO311" i="6"/>
  <c r="AP311" i="6" s="1"/>
  <c r="AO312" i="6"/>
  <c r="AP312" i="6" s="1"/>
  <c r="AO313" i="6"/>
  <c r="AP313" i="6" s="1"/>
  <c r="AO314" i="6"/>
  <c r="AP314" i="6" s="1"/>
  <c r="AO315" i="6"/>
  <c r="AP315" i="6" s="1"/>
  <c r="AO316" i="6"/>
  <c r="AP316" i="6" s="1"/>
  <c r="AO317" i="6"/>
  <c r="AP317" i="6" s="1"/>
  <c r="AO318" i="6"/>
  <c r="AP318" i="6" s="1"/>
  <c r="AO319" i="6"/>
  <c r="AP319" i="6" s="1"/>
  <c r="AO320" i="6"/>
  <c r="AP320" i="6" s="1"/>
  <c r="AO321" i="6"/>
  <c r="AP321" i="6" s="1"/>
  <c r="AO322" i="6"/>
  <c r="AP322" i="6" s="1"/>
  <c r="AO286" i="6"/>
  <c r="AO323" i="6" l="1"/>
  <c r="AP286" i="6"/>
  <c r="L256" i="6"/>
  <c r="L246" i="6"/>
  <c r="M246" i="6" s="1"/>
  <c r="L244" i="6"/>
  <c r="L249" i="6"/>
  <c r="M249" i="6" s="1"/>
  <c r="L255" i="6"/>
  <c r="M255" i="6" s="1"/>
  <c r="L254" i="6"/>
  <c r="M254" i="6" s="1"/>
  <c r="L248" i="6"/>
  <c r="L253" i="6"/>
  <c r="M253" i="6" s="1"/>
  <c r="L252" i="6"/>
  <c r="M252" i="6" s="1"/>
  <c r="L251" i="6"/>
  <c r="M251" i="6" s="1"/>
  <c r="M248" i="6" l="1"/>
  <c r="M244" i="6"/>
  <c r="L243" i="6"/>
  <c r="M243" i="6" s="1"/>
  <c r="M256" i="6"/>
  <c r="L250" i="6"/>
  <c r="AP323" i="6"/>
  <c r="M250" i="6" l="1"/>
  <c r="L247" i="6"/>
  <c r="M247" i="6" l="1"/>
  <c r="L257" i="6"/>
  <c r="M257"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Sourabh Agarwala</author>
  </authors>
  <commentList>
    <comment ref="AE285" authorId="0" shapeId="0" xr:uid="{F0152EE4-73BB-4772-8659-826C5D6D5A57}">
      <text>
        <r>
          <rPr>
            <sz val="11"/>
            <color theme="1"/>
            <rFont val="Calibri"/>
            <family val="2"/>
            <scheme val="minor"/>
          </rPr>
          <t xml:space="preserve">Sourabh Agarwala:
Have done proportionate but as per law, need to be First IN First Out. We cant do unless we have complete records. Maybe prospectively we do and notify customers
</t>
        </r>
      </text>
    </comment>
    <comment ref="AG285" authorId="0" shapeId="0" xr:uid="{FE33A4F5-2C74-4554-9FBD-98D9DC708F4A}">
      <text>
        <r>
          <rPr>
            <sz val="11"/>
            <color theme="1"/>
            <rFont val="Calibri"/>
            <family val="2"/>
            <scheme val="minor"/>
          </rPr>
          <t xml:space="preserve">Sourabh Agarwala:
Have done proportionate but as per law, need to be First IN First Out. We cant do unless we have complete records. Maybe prospectively we do and notify customers
</t>
        </r>
      </text>
    </comment>
    <comment ref="AK285" authorId="0" shapeId="0" xr:uid="{78EA0F47-A921-4EBA-8B61-E3F48757CBA3}">
      <text>
        <r>
          <rPr>
            <sz val="11"/>
            <color theme="1"/>
            <rFont val="Calibri"/>
            <family val="2"/>
            <scheme val="minor"/>
          </rPr>
          <t>Sourabh Agarwala:
again proportionate but should be FIFO</t>
        </r>
      </text>
    </comment>
    <comment ref="V305" authorId="0" shapeId="0" xr:uid="{3D35D08F-1390-4F5D-92C2-759ABE51BEB4}">
      <text>
        <t>Sourabh Agarwala:
No LTCG for debt funds bought post April 2023. Everything treated as short term and taxed at slab rates</t>
      </text>
    </comment>
  </commentList>
</comments>
</file>

<file path=xl/sharedStrings.xml><?xml version="1.0" encoding="utf-8"?>
<sst xmlns="http://schemas.openxmlformats.org/spreadsheetml/2006/main" count="795" uniqueCount="334">
  <si>
    <t>Client Profile</t>
  </si>
  <si>
    <t>Field</t>
  </si>
  <si>
    <t>Value</t>
  </si>
  <si>
    <t>effective_risk_score</t>
  </si>
  <si>
    <t>age</t>
  </si>
  <si>
    <t>annual_income</t>
  </si>
  <si>
    <t>osi</t>
  </si>
  <si>
    <t>Actual</t>
  </si>
  <si>
    <t>savings_rate_adjustment</t>
  </si>
  <si>
    <t>none</t>
  </si>
  <si>
    <t>A</t>
  </si>
  <si>
    <t>gap_exceeds_3</t>
  </si>
  <si>
    <t>shortfall_amount</t>
  </si>
  <si>
    <t>Equity</t>
  </si>
  <si>
    <t>total_corpus</t>
  </si>
  <si>
    <t>Large</t>
  </si>
  <si>
    <t>monthly_household_expense</t>
  </si>
  <si>
    <t>HDFC</t>
  </si>
  <si>
    <t>ICICI Large</t>
  </si>
  <si>
    <t>tax_regime</t>
  </si>
  <si>
    <t>old</t>
  </si>
  <si>
    <t>Small</t>
  </si>
  <si>
    <t>section_80c_utilized</t>
  </si>
  <si>
    <t>Frank</t>
  </si>
  <si>
    <t>Bandhan</t>
  </si>
  <si>
    <t>emergency_fund_needed</t>
  </si>
  <si>
    <t>primary_income_from_portfolio</t>
  </si>
  <si>
    <t>Debt</t>
  </si>
  <si>
    <t>effective_tax_rate</t>
  </si>
  <si>
    <t>ICICI debt</t>
  </si>
  <si>
    <t>risk_willingness</t>
  </si>
  <si>
    <t>risk_capacity_score</t>
  </si>
  <si>
    <t>net_financial_assets</t>
  </si>
  <si>
    <t>occupation_type</t>
  </si>
  <si>
    <t>public_sector</t>
  </si>
  <si>
    <t>Round to 100/ 1000</t>
  </si>
  <si>
    <t>multi_asset_equity_pct</t>
  </si>
  <si>
    <t>multi_asset_debt_pct</t>
  </si>
  <si>
    <t>multi_asset_others_pct</t>
  </si>
  <si>
    <t>multi_asset_max_equity</t>
  </si>
  <si>
    <t>Goals</t>
  </si>
  <si>
    <t>goal_type</t>
  </si>
  <si>
    <t>goal_period_min</t>
  </si>
  <si>
    <t>goal_period_max</t>
  </si>
  <si>
    <t>short_term_goal</t>
  </si>
  <si>
    <t>medium_term_goal_3</t>
  </si>
  <si>
    <t>medium_term_goal_4</t>
  </si>
  <si>
    <t>medium_term_goal_5</t>
  </si>
  <si>
    <t>long_term_goal</t>
  </si>
  <si>
    <t>goal_name</t>
  </si>
  <si>
    <t>time_to_goal_months</t>
  </si>
  <si>
    <t>goal_year</t>
  </si>
  <si>
    <t>amount_needed</t>
  </si>
  <si>
    <t>goal_priority</t>
  </si>
  <si>
    <t>investment_goal</t>
  </si>
  <si>
    <t>Home</t>
  </si>
  <si>
    <t>negotiable</t>
  </si>
  <si>
    <t>wealth_creation</t>
  </si>
  <si>
    <t>Child Education</t>
  </si>
  <si>
    <t>other</t>
  </si>
  <si>
    <t>Retirement</t>
  </si>
  <si>
    <t>non_negotiable</t>
  </si>
  <si>
    <t>retirement</t>
  </si>
  <si>
    <t>Year</t>
  </si>
  <si>
    <t>months</t>
  </si>
  <si>
    <t>Goal</t>
  </si>
  <si>
    <t>PV of goal</t>
  </si>
  <si>
    <t>Market view</t>
  </si>
  <si>
    <t>Asset class</t>
  </si>
  <si>
    <t>Score</t>
  </si>
  <si>
    <t>Subgroup</t>
  </si>
  <si>
    <t>equities</t>
  </si>
  <si>
    <t>low_beta_equities</t>
  </si>
  <si>
    <t>debt</t>
  </si>
  <si>
    <t>value_equities</t>
  </si>
  <si>
    <t>others</t>
  </si>
  <si>
    <t>dividend_equities</t>
  </si>
  <si>
    <t>medium_beta_equities</t>
  </si>
  <si>
    <t>min_market view</t>
  </si>
  <si>
    <t>high_beta_equities</t>
  </si>
  <si>
    <t>max_market view</t>
  </si>
  <si>
    <t>sector_equities</t>
  </si>
  <si>
    <t>avg_score</t>
  </si>
  <si>
    <t>us_equities</t>
  </si>
  <si>
    <t>Step 1</t>
  </si>
  <si>
    <t>emergency_fund</t>
  </si>
  <si>
    <t>Metric</t>
  </si>
  <si>
    <t>emergency_fund_months</t>
  </si>
  <si>
    <t>emergency_fund_amount</t>
  </si>
  <si>
    <t>nfa_carveout_amount</t>
  </si>
  <si>
    <t>total_emergency</t>
  </si>
  <si>
    <t>remaining_corpus</t>
  </si>
  <si>
    <t>future_investment_amount</t>
  </si>
  <si>
    <t>subgroup_debt_subgroup</t>
  </si>
  <si>
    <t>Step 2</t>
  </si>
  <si>
    <t>Funds</t>
  </si>
  <si>
    <t>goals_in_bucket_count</t>
  </si>
  <si>
    <t>short_term_goal_1_amount</t>
  </si>
  <si>
    <t>asset_subgroup</t>
  </si>
  <si>
    <t>short_term_goal_2_amount</t>
  </si>
  <si>
    <t>total_goal_amount</t>
  </si>
  <si>
    <t>allocated_amount</t>
  </si>
  <si>
    <t>Step 3</t>
  </si>
  <si>
    <t>medium_term_goal</t>
  </si>
  <si>
    <t>debt allocation for medium term</t>
  </si>
  <si>
    <t>effective_risk_score_minimum</t>
  </si>
  <si>
    <t>effective_risk_score_maximum</t>
  </si>
  <si>
    <t>selected</t>
  </si>
  <si>
    <t>risk_bucket</t>
  </si>
  <si>
    <t>medium_term_goal_3_amount</t>
  </si>
  <si>
    <t>arbitrage_plus_income</t>
  </si>
  <si>
    <t>medium_term_goal_4_amount</t>
  </si>
  <si>
    <t>multi_asset_equity</t>
  </si>
  <si>
    <t>medium_term_goal_5_amount</t>
  </si>
  <si>
    <t>Step 4</t>
  </si>
  <si>
    <t>long_term_goal_amount</t>
  </si>
  <si>
    <t>total_long_term_corpus</t>
  </si>
  <si>
    <t>normalised_effective_risk_score</t>
  </si>
  <si>
    <t>first_level_allocation_asset_class</t>
  </si>
  <si>
    <t>Minimum: asset class</t>
  </si>
  <si>
    <t>Maximum: asset class</t>
  </si>
  <si>
    <t>equities_pct</t>
  </si>
  <si>
    <t>debt_pct</t>
  </si>
  <si>
    <t>others_pct</t>
  </si>
  <si>
    <t>others_min_risk_score_to_flag</t>
  </si>
  <si>
    <t>others_min_market_commentary_to_flag</t>
  </si>
  <si>
    <t>second_level_allocation_asset_class</t>
  </si>
  <si>
    <t>market  impact</t>
  </si>
  <si>
    <t>allocation_1</t>
  </si>
  <si>
    <t>allocation_2</t>
  </si>
  <si>
    <t>equities_amount</t>
  </si>
  <si>
    <t>debt_amount</t>
  </si>
  <si>
    <t>check</t>
  </si>
  <si>
    <t>others_amount</t>
  </si>
  <si>
    <t>elss_amount</t>
  </si>
  <si>
    <t>residual_equity_corpus</t>
  </si>
  <si>
    <t>multi_asset_amount</t>
  </si>
  <si>
    <t>multi_asset_equity_amount</t>
  </si>
  <si>
    <t>multi_asset_debt_amount</t>
  </si>
  <si>
    <t>multi_asset_others_amount</t>
  </si>
  <si>
    <t>multi_asset_others_excess</t>
  </si>
  <si>
    <t>multi_asset_others_excess_allocated2equity</t>
  </si>
  <si>
    <t>multi_asset_others_excess_allocated2debt</t>
  </si>
  <si>
    <t>value_eq_min_market_commentary_to_flag</t>
  </si>
  <si>
    <t>sector_eq_min_market_commentary_to_flag</t>
  </si>
  <si>
    <t>min_equity_pct_required</t>
  </si>
  <si>
    <t>allocation_equity_asset_subgroup</t>
  </si>
  <si>
    <t>column_min</t>
  </si>
  <si>
    <t>column_max</t>
  </si>
  <si>
    <t>min</t>
  </si>
  <si>
    <t>max</t>
  </si>
  <si>
    <t>market_impact</t>
  </si>
  <si>
    <t>% OF EQUITIES</t>
  </si>
  <si>
    <t>allocation_3</t>
  </si>
  <si>
    <t>allocation_4</t>
  </si>
  <si>
    <t>sector_equities_amount</t>
  </si>
  <si>
    <t>value_equities_amount</t>
  </si>
  <si>
    <t>us_equities_amount</t>
  </si>
  <si>
    <t>low_beta_equities_amount</t>
  </si>
  <si>
    <t>medium_beta_equities_amount</t>
  </si>
  <si>
    <t>high_beta_equities_amount</t>
  </si>
  <si>
    <t>residual_debt_corpus</t>
  </si>
  <si>
    <t>residual_other_corpus</t>
  </si>
  <si>
    <t>gold_commodities</t>
  </si>
  <si>
    <t>Aggregation</t>
  </si>
  <si>
    <t>subgroup</t>
  </si>
  <si>
    <t>emergency</t>
  </si>
  <si>
    <t>short_term</t>
  </si>
  <si>
    <t>medium_term</t>
  </si>
  <si>
    <t>long_term</t>
  </si>
  <si>
    <t>total</t>
  </si>
  <si>
    <t>debt_subgroup</t>
  </si>
  <si>
    <t>short_debt</t>
  </si>
  <si>
    <t>arbitrage_income</t>
  </si>
  <si>
    <t>equities_subgroup</t>
  </si>
  <si>
    <t>tax_efficient_equities</t>
  </si>
  <si>
    <t>multi_asset</t>
  </si>
  <si>
    <t>Check</t>
  </si>
  <si>
    <t>MF allocation</t>
  </si>
  <si>
    <t>Multi_fund cap</t>
  </si>
  <si>
    <t>percent of portfolio</t>
  </si>
  <si>
    <t>Others_Mutual fund cap</t>
  </si>
  <si>
    <t>allocation_1_pct</t>
  </si>
  <si>
    <t>max_pct</t>
  </si>
  <si>
    <t>allocation_2+pct</t>
  </si>
  <si>
    <t>allocation_3_pct</t>
  </si>
  <si>
    <t>allocation_3_amount</t>
  </si>
  <si>
    <t>Rebalancing</t>
  </si>
  <si>
    <t>total (ideal)</t>
  </si>
  <si>
    <t>present_allocation</t>
  </si>
  <si>
    <t>diff</t>
  </si>
  <si>
    <t>allocation_5</t>
  </si>
  <si>
    <t>allocation_6</t>
  </si>
  <si>
    <t>vs ideal</t>
  </si>
  <si>
    <t>MF allocation &amp; Rebalancing</t>
  </si>
  <si>
    <t>rebalance_min_change</t>
  </si>
  <si>
    <t>exit_floor_rating</t>
  </si>
  <si>
    <t>Exit?</t>
  </si>
  <si>
    <t xml:space="preserve">fund_ratings </t>
  </si>
  <si>
    <t>worth_to_change</t>
  </si>
  <si>
    <t>allocation_4_amount (manual step)</t>
  </si>
  <si>
    <t>exit_load_amount</t>
  </si>
  <si>
    <t>stcg_amount</t>
  </si>
  <si>
    <t>st_investment_value</t>
  </si>
  <si>
    <t>ltcg_amount</t>
  </si>
  <si>
    <t>lt_investment_value</t>
  </si>
  <si>
    <t>buy_rebalance_1</t>
  </si>
  <si>
    <t>underbuy_rebalance_1</t>
  </si>
  <si>
    <t>sold_rebalance_1</t>
  </si>
  <si>
    <t>undersold_rebalance1</t>
  </si>
  <si>
    <t>impact_underbought&amp;sold</t>
  </si>
  <si>
    <t>allocation_5_amount</t>
  </si>
  <si>
    <t>sold_rebal_1_LT_amount</t>
  </si>
  <si>
    <t>sold_rebal_1_LTCG/LTCL</t>
  </si>
  <si>
    <t>sold_rebal_1_ST_amount</t>
  </si>
  <si>
    <t>sold_rebal_1_STCG/STCL</t>
  </si>
  <si>
    <t>balance_c/f_stcg/stcl</t>
  </si>
  <si>
    <t>sold_rebalance_1_w/o ST limit</t>
  </si>
  <si>
    <t>undersold_rebal_1_reason_ST</t>
  </si>
  <si>
    <t xml:space="preserve">undersold_rebal_1_reason_ST_value_STCG </t>
  </si>
  <si>
    <t>STCG_net off</t>
  </si>
  <si>
    <t>sold_rebalance_2</t>
  </si>
  <si>
    <t>undersold_rebalance2</t>
  </si>
  <si>
    <t>allocation_6_amount</t>
  </si>
  <si>
    <t>BAD FUND</t>
  </si>
  <si>
    <t>&gt;&gt; Logic not covered : (1) How to allocated BAD Fund to reduce the concerned category of fund?  (2) How to sell the gains in ST till the level of the losses of the ST or LT?</t>
  </si>
  <si>
    <t>ELSS exit - rebalance</t>
  </si>
  <si>
    <t>Managing inflow rebalance amount which gets False flag on worth to add</t>
  </si>
  <si>
    <t xml:space="preserve">Debt fund </t>
  </si>
  <si>
    <t>Phase 1 Risk Bounds</t>
  </si>
  <si>
    <t>Medium-term split</t>
  </si>
  <si>
    <t>asset_class</t>
  </si>
  <si>
    <t>sub_category</t>
  </si>
  <si>
    <t>recommended_fund</t>
  </si>
  <si>
    <t>isin</t>
  </si>
  <si>
    <t>Rank</t>
  </si>
  <si>
    <t>score</t>
  </si>
  <si>
    <t>eq_min</t>
  </si>
  <si>
    <t>eq_max</t>
  </si>
  <si>
    <t>debt_min</t>
  </si>
  <si>
    <t>debt_max</t>
  </si>
  <si>
    <t>others_min</t>
  </si>
  <si>
    <t>others_max</t>
  </si>
  <si>
    <t>horizon_years</t>
  </si>
  <si>
    <t>equity_pct</t>
  </si>
  <si>
    <t>equity</t>
  </si>
  <si>
    <t>Large Cap Fund</t>
  </si>
  <si>
    <t>Nippon India Large Cap Fund - Growth Plan - Growth Option</t>
  </si>
  <si>
    <t>INF204K01562</t>
  </si>
  <si>
    <t>Low</t>
  </si>
  <si>
    <t>Large Cap Fund_2</t>
  </si>
  <si>
    <t>Medium</t>
  </si>
  <si>
    <t>Flexi Cap Fund</t>
  </si>
  <si>
    <t>Parag Parikh Flexi Cap Fund - Direct Plan - Growth</t>
  </si>
  <si>
    <t>INF879O01027</t>
  </si>
  <si>
    <t>High</t>
  </si>
  <si>
    <t>Flexi Cap Fund_2</t>
  </si>
  <si>
    <t>Small Cap Fund</t>
  </si>
  <si>
    <t>Nippon India Small Cap Fund - Growth Plan - Growth Option</t>
  </si>
  <si>
    <t>INF204K01HY3</t>
  </si>
  <si>
    <t>Small Cap Fund_2</t>
  </si>
  <si>
    <t>Contra Fund</t>
  </si>
  <si>
    <t>SBI Contra Fund - Direct Plan - Growth</t>
  </si>
  <si>
    <t>INF200K01RA0</t>
  </si>
  <si>
    <t>Contra Fund_2</t>
  </si>
  <si>
    <t>Dividend Yield Fund</t>
  </si>
  <si>
    <t>ICICI Prudential Dividend Yield Equity Fund - Growth Option</t>
  </si>
  <si>
    <t>INF109KA1TX4</t>
  </si>
  <si>
    <t>Dividend Yield Fund_2</t>
  </si>
  <si>
    <t>ELSS Tax Saver Fund</t>
  </si>
  <si>
    <t>Motilal Oswal ELSS Tax Saver Fund - Regular Plan - Growth Option</t>
  </si>
  <si>
    <t>INF247L01544</t>
  </si>
  <si>
    <t>ELSS Tax Saver Fund_2</t>
  </si>
  <si>
    <t>Sectoral Fund</t>
  </si>
  <si>
    <t>Tata Digital India Fund - Regular Plan - Growth</t>
  </si>
  <si>
    <t>INF277K01Z44</t>
  </si>
  <si>
    <t>Sectoral Fund_2</t>
  </si>
  <si>
    <t>US Linked (FoF)</t>
  </si>
  <si>
    <t>Kotak US Specific Equity Passive FOF - Direct Plan - Growth</t>
  </si>
  <si>
    <t>INF174KA1FQ7</t>
  </si>
  <si>
    <t>US Linked (FoF)_2</t>
  </si>
  <si>
    <t>Multi Cap Fund</t>
  </si>
  <si>
    <t>ICICI Prudential Multicap Fund - Growth</t>
  </si>
  <si>
    <t>INF109K01613</t>
  </si>
  <si>
    <t>Multi Cap Fund_2</t>
  </si>
  <si>
    <t>Multi Cap Fund_3</t>
  </si>
  <si>
    <t>Liquid Fund</t>
  </si>
  <si>
    <t>Canara Robeco Liquid Fund - Regular Plan - Growth Option</t>
  </si>
  <si>
    <t>INF179K01VF7</t>
  </si>
  <si>
    <t>Liquid Fund_2</t>
  </si>
  <si>
    <t>arbitrage</t>
  </si>
  <si>
    <t>Arbitrage Fund</t>
  </si>
  <si>
    <t>Nippon India Arbitrage Fund - Direct Plan - Growth</t>
  </si>
  <si>
    <t>INF204K01XZ7</t>
  </si>
  <si>
    <t>Arbitrage Fund_2</t>
  </si>
  <si>
    <t>HDFC Arbitrage Fund - Wholesale Growth</t>
  </si>
  <si>
    <t>INF179KB1HP6</t>
  </si>
  <si>
    <t>Arbitrage Fund_3</t>
  </si>
  <si>
    <t>Gold ETF</t>
  </si>
  <si>
    <t>ICICI Prudential Gold ETF</t>
  </si>
  <si>
    <t>INF109KC1NT3</t>
  </si>
  <si>
    <t>Gold ETF_2</t>
  </si>
  <si>
    <t>silver_commodities</t>
  </si>
  <si>
    <t>Silver Linked (Index/ETF)</t>
  </si>
  <si>
    <t>ICICI Prudential Silver ETF</t>
  </si>
  <si>
    <t>INF109KC1Y56</t>
  </si>
  <si>
    <t>Silver Linked (Index/ETF)_2</t>
  </si>
  <si>
    <t>china_equities</t>
  </si>
  <si>
    <t>China Linked (FoF)</t>
  </si>
  <si>
    <t>Edelweiss Greater China Equity Off-shore Fund - Direct Plan - Growth</t>
  </si>
  <si>
    <t>INF843K01138</t>
  </si>
  <si>
    <t>China Linked (FoF)_2</t>
  </si>
  <si>
    <t>others_fofs</t>
  </si>
  <si>
    <t>Others (FoF)</t>
  </si>
  <si>
    <t>Motilal Oswal Nasdaq 100 Fund of Fund - Direct Plan Growth</t>
  </si>
  <si>
    <t>INF247L01718</t>
  </si>
  <si>
    <t>Others (FoF)_2</t>
  </si>
  <si>
    <t>Others (Index/ETF)</t>
  </si>
  <si>
    <t>Motilal Oswal Nasdaq 100 ETF</t>
  </si>
  <si>
    <t>INF247L01AP3</t>
  </si>
  <si>
    <t>Others (Index/ETF)_2</t>
  </si>
  <si>
    <t>Status</t>
  </si>
  <si>
    <t>step totals match</t>
  </si>
  <si>
    <t>OK</t>
  </si>
  <si>
    <t>asset class pct sum</t>
  </si>
  <si>
    <t>equity subgroup bounds</t>
  </si>
  <si>
    <t>all mapped</t>
  </si>
  <si>
    <t>multiples of 100</t>
  </si>
  <si>
    <t>grand_total</t>
  </si>
  <si>
    <t>matches_corpus</t>
  </si>
  <si>
    <t>step1_emergency</t>
  </si>
  <si>
    <t>step2_short_term</t>
  </si>
  <si>
    <t>step3_medium_term</t>
  </si>
  <si>
    <t>step4_long_term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</si>
</sst>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0"/>
    <numFmt numFmtId="166" formatCode="_-* #,##0_-;\-* #,##0_-;_-* &quot;-&quot;??_-;_-@_-"/>
    <numFmt numFmtId="167" formatCode="0.0%"/>
  </numFmts>
  <fonts count="7">
    <font>
      <sz val="11"/>
      <color theme="1"/>
      <name val="Calibri"/>
      <family val="2"/>
      <scheme val="minor"/>
    </font>
    <font>
      <b/>
      <sz val="11"/>
      <name val="Calibri"/>
    </font>
    <font>
      <sz val="10"/>
      <color theme="1"/>
      <name val="Arial"/>
      <charset val="1"/>
    </font>
    <font>
      <b/>
      <sz val="11"/>
      <color theme="1"/>
      <name val="Calibri"/>
      <family val="2"/>
      <scheme val="minor"/>
    </font>
    <font>
      <b/>
      <u/>
      <sz val="11"/>
      <color theme="1"/>
      <name val="Calibri"/>
      <family val="2"/>
      <scheme val="minor"/>
    </font>
    <font>
      <b/>
      <sz val="11"/>
      <color rgb="FFFF0000"/>
      <name val="Calibri"/>
      <family val="2"/>
      <scheme val="minor"/>
    </font>
    <font>
      <sz val="11"/>
      <color rgb="FFFF0000"/>
      <name val="Calibri"/>
      <family val="2"/>
      <scheme val="minor"/>
    </font>
  </fonts>
  <fills count="10">
    <fill>
      <patternFill patternType="none"/>
    </fill>
    <fill>
      <patternFill patternType="gray125"/>
    </fill>
    <fill>
      <patternFill patternType="solid">
        <fgColor rgb="FFD9EAF7"/>
      </patternFill>
    </fill>
    <fill>
      <patternFill patternType="solid">
        <fgColor theme="4"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00B0F0"/>
        <bgColor indexed="64"/>
      </patternFill>
    </fill>
    <fill>
      <patternFill patternType="solid">
        <fgColor theme="6" tint="0.79998168889431442"/>
        <bgColor indexed="64"/>
      </patternFill>
    </fill>
    <fill>
      <patternFill patternType="solid">
        <fgColor rgb="FFFF0000"/>
        <bgColor indexed="64"/>
      </patternFill>
    </fill>
  </fills>
  <borders count="11">
    <border>
      <left/>
      <right/>
      <top/>
      <bottom/>
      <diagonal/>
    </border>
    <border>
      <left style="thin">
        <color rgb="FF000000"/>
      </left>
      <right style="thin">
        <color rgb="FFCCCCCC"/>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60">
    <xf numFmtId="0" fontId="0" fillId="0" borderId="0" xfId="0"/>
    <xf numFmtId="0" fontId="1" fillId="2" borderId="0" xfId="0" applyFont="1" applyFill="1" applyAlignment="1">
      <alignment horizontal="center"/>
    </xf>
    <xf numFmtId="0" fontId="0" fillId="3" borderId="0" xfId="0" applyFill="1"/>
    <xf numFmtId="0" fontId="0" fillId="0" borderId="0" xfId="0" applyAlignment="1">
      <alignment wrapText="1"/>
    </xf>
    <xf numFmtId="2" fontId="0" fillId="0" borderId="0" xfId="0" applyNumberFormat="1"/>
    <xf numFmtId="1" fontId="0" fillId="0" borderId="0" xfId="0" applyNumberFormat="1"/>
    <xf numFmtId="9" fontId="0" fillId="0" borderId="0" xfId="0" applyNumberFormat="1"/>
    <xf numFmtId="0" fontId="3" fillId="0" borderId="0" xfId="0" applyFont="1"/>
    <xf numFmtId="0" fontId="0" fillId="0" borderId="0" xfId="0" applyFill="1"/>
    <xf numFmtId="0" fontId="0" fillId="4" borderId="0" xfId="0" applyFill="1"/>
    <xf numFmtId="164" fontId="0" fillId="0" borderId="0" xfId="0" applyNumberFormat="1"/>
    <xf numFmtId="165" fontId="0" fillId="4" borderId="0" xfId="0" applyNumberFormat="1" applyFill="1"/>
    <xf numFmtId="0" fontId="2" fillId="0" borderId="1" xfId="0" applyFont="1" applyBorder="1" applyAlignment="1">
      <alignment readingOrder="1"/>
    </xf>
    <xf numFmtId="0" fontId="2" fillId="0" borderId="4" xfId="0" applyFont="1" applyBorder="1" applyAlignment="1">
      <alignment readingOrder="1"/>
    </xf>
    <xf numFmtId="0" fontId="2" fillId="0" borderId="5" xfId="0" applyFont="1" applyBorder="1" applyAlignment="1">
      <alignment readingOrder="1"/>
    </xf>
    <xf numFmtId="0" fontId="2" fillId="0" borderId="2" xfId="0" applyFont="1" applyBorder="1" applyAlignment="1">
      <alignment readingOrder="1"/>
    </xf>
    <xf numFmtId="0" fontId="2" fillId="0" borderId="6" xfId="0" applyFont="1" applyBorder="1" applyAlignment="1">
      <alignment readingOrder="1"/>
    </xf>
    <xf numFmtId="0" fontId="2" fillId="0" borderId="7" xfId="0" applyFont="1" applyBorder="1" applyAlignment="1">
      <alignment readingOrder="1"/>
    </xf>
    <xf numFmtId="0" fontId="2" fillId="0" borderId="3" xfId="0" applyFont="1" applyBorder="1" applyAlignment="1">
      <alignment readingOrder="1"/>
    </xf>
    <xf numFmtId="0" fontId="2" fillId="0" borderId="8" xfId="0" applyFont="1" applyBorder="1" applyAlignment="1">
      <alignment readingOrder="1"/>
    </xf>
    <xf numFmtId="0" fontId="2" fillId="0" borderId="6" xfId="0" quotePrefix="1" applyFont="1" applyBorder="1" applyAlignment="1">
      <alignment readingOrder="1"/>
    </xf>
    <xf numFmtId="0" fontId="0" fillId="0" borderId="0" xfId="0" applyFill="1" applyBorder="1"/>
    <xf numFmtId="0" fontId="2" fillId="0" borderId="0" xfId="0" applyFont="1" applyFill="1" applyBorder="1" applyAlignment="1">
      <alignment readingOrder="1"/>
    </xf>
    <xf numFmtId="0" fontId="3" fillId="0" borderId="0" xfId="0" applyFont="1" applyFill="1" applyBorder="1" applyAlignment="1">
      <alignment horizontal="center"/>
    </xf>
    <xf numFmtId="9" fontId="2" fillId="0" borderId="0" xfId="0" applyNumberFormat="1" applyFont="1" applyFill="1" applyBorder="1" applyAlignment="1">
      <alignment readingOrder="1"/>
    </xf>
    <xf numFmtId="9" fontId="0" fillId="0" borderId="0" xfId="0" applyNumberFormat="1" applyFill="1" applyBorder="1"/>
    <xf numFmtId="0" fontId="0" fillId="0" borderId="9" xfId="0" applyFill="1" applyBorder="1"/>
    <xf numFmtId="0" fontId="2" fillId="0" borderId="10" xfId="0" applyFont="1" applyFill="1" applyBorder="1" applyAlignment="1">
      <alignment readingOrder="1"/>
    </xf>
    <xf numFmtId="9" fontId="2" fillId="0" borderId="10" xfId="0" applyNumberFormat="1" applyFont="1" applyFill="1" applyBorder="1" applyAlignment="1">
      <alignment readingOrder="1"/>
    </xf>
    <xf numFmtId="9" fontId="0" fillId="0" borderId="10" xfId="0" applyNumberFormat="1" applyFill="1" applyBorder="1"/>
    <xf numFmtId="0" fontId="0" fillId="0" borderId="0" xfId="0" applyAlignment="1">
      <alignment horizontal="right" vertical="center"/>
    </xf>
    <xf numFmtId="9" fontId="0" fillId="0" borderId="0" xfId="0" applyNumberFormat="1" applyAlignment="1">
      <alignment horizontal="right" vertical="center"/>
    </xf>
    <xf numFmtId="0" fontId="0" fillId="3" borderId="0" xfId="0" applyFill="1" applyAlignment="1">
      <alignment horizontal="right" vertical="center"/>
    </xf>
    <xf numFmtId="0" fontId="0" fillId="5" borderId="0" xfId="0" applyFill="1"/>
    <xf numFmtId="0" fontId="0" fillId="5" borderId="0" xfId="0" applyFill="1" applyAlignment="1">
      <alignment wrapText="1"/>
    </xf>
    <xf numFmtId="2" fontId="0" fillId="5" borderId="0" xfId="0" applyNumberFormat="1" applyFill="1"/>
    <xf numFmtId="0" fontId="4" fillId="0" borderId="0" xfId="0" applyFont="1"/>
    <xf numFmtId="0" fontId="3" fillId="0" borderId="0" xfId="0" applyFont="1" applyAlignment="1">
      <alignment horizontal="right"/>
    </xf>
    <xf numFmtId="166" fontId="0" fillId="0" borderId="0" xfId="0" applyNumberFormat="1"/>
    <xf numFmtId="166" fontId="4" fillId="0" borderId="0" xfId="0" applyNumberFormat="1" applyFont="1"/>
    <xf numFmtId="2" fontId="0" fillId="4" borderId="0" xfId="0" applyNumberFormat="1" applyFill="1"/>
    <xf numFmtId="166" fontId="0" fillId="5" borderId="0" xfId="0" applyNumberFormat="1" applyFill="1"/>
    <xf numFmtId="167" fontId="0" fillId="0" borderId="0" xfId="0" applyNumberFormat="1"/>
    <xf numFmtId="10" fontId="0" fillId="0" borderId="0" xfId="0" applyNumberFormat="1"/>
    <xf numFmtId="0" fontId="0" fillId="6" borderId="0" xfId="0" applyFill="1"/>
    <xf numFmtId="2" fontId="0" fillId="6" borderId="0" xfId="0" applyNumberFormat="1" applyFill="1"/>
    <xf numFmtId="0" fontId="0" fillId="7" borderId="0" xfId="0" applyFill="1" applyAlignment="1">
      <alignment horizontal="right" vertical="center"/>
    </xf>
    <xf numFmtId="166" fontId="0" fillId="7" borderId="0" xfId="0" applyNumberFormat="1" applyFill="1" applyAlignment="1">
      <alignment horizontal="right" vertical="center"/>
    </xf>
    <xf numFmtId="166" fontId="3" fillId="0" borderId="0" xfId="0" applyNumberFormat="1" applyFont="1"/>
    <xf numFmtId="1" fontId="3" fillId="0" borderId="0" xfId="0" applyNumberFormat="1" applyFont="1"/>
    <xf numFmtId="9" fontId="0" fillId="6" borderId="0" xfId="0" applyNumberFormat="1" applyFill="1"/>
    <xf numFmtId="0" fontId="5" fillId="0" borderId="0" xfId="0" applyFont="1"/>
    <xf numFmtId="166" fontId="6" fillId="0" borderId="0" xfId="0" applyNumberFormat="1" applyFont="1"/>
    <xf numFmtId="43" fontId="0" fillId="0" borderId="0" xfId="0" applyNumberFormat="1"/>
    <xf numFmtId="0" fontId="0" fillId="8" borderId="0" xfId="0" applyFill="1"/>
    <xf numFmtId="1" fontId="0" fillId="8" borderId="0" xfId="0" applyNumberFormat="1" applyFill="1"/>
    <xf numFmtId="2" fontId="0" fillId="8" borderId="0" xfId="0" applyNumberFormat="1" applyFill="1"/>
    <xf numFmtId="166" fontId="0" fillId="8" borderId="0" xfId="0" applyNumberFormat="1" applyFill="1"/>
    <xf numFmtId="164" fontId="0" fillId="8" borderId="0" xfId="0" applyNumberFormat="1" applyFill="1"/>
    <xf numFmtId="0" fontId="0" fillId="9"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S325"/>
  <sheetViews>
    <sheetView showGridLines="0" topLeftCell="A248" workbookViewId="0">
      <selection activeCell="A282" sqref="A282"/>
    </sheetView>
  </sheetViews>
  <sheetFormatPr defaultRowHeight="15" outlineLevelRow="1"/>
  <cols>
    <col min="1" max="1" width="29.140625" bestFit="1" customWidth="1"/>
    <col min="2" max="2" width="25" customWidth="1"/>
    <col min="3" max="3" width="20" customWidth="1"/>
    <col min="4" max="4" width="29.140625" bestFit="1" customWidth="1"/>
    <col min="5" max="19" width="20" customWidth="1"/>
  </cols>
  <sheetData>
    <row r="2" spans="1:19">
      <c r="A2" s="2" t="s">
        <v>0</v>
      </c>
      <c r="B2" s="2"/>
      <c r="C2" s="2"/>
      <c r="D2" s="2"/>
      <c r="E2" s="2"/>
      <c r="F2" s="2"/>
    </row>
    <row r="4" spans="1:19">
      <c r="A4" t="s">
        <v>1</v>
      </c>
      <c r="B4" s="30" t="s">
        <v>2</v>
      </c>
    </row>
    <row r="5" spans="1:19">
      <c r="A5" t="s">
        <v>3</v>
      </c>
      <c r="B5" s="30">
        <v>7.5</v>
      </c>
    </row>
    <row r="6" spans="1:19">
      <c r="A6" t="s">
        <v>4</v>
      </c>
      <c r="B6" s="30">
        <v>50</v>
      </c>
    </row>
    <row r="7" spans="1:19">
      <c r="A7" t="s">
        <v>5</v>
      </c>
      <c r="B7" s="30">
        <v>0</v>
      </c>
    </row>
    <row r="8" spans="1:19">
      <c r="A8" t="s">
        <v>6</v>
      </c>
      <c r="B8" s="30">
        <v>0</v>
      </c>
      <c r="G8" t="s">
        <v>7</v>
      </c>
    </row>
    <row r="9" spans="1:19">
      <c r="A9" t="s">
        <v>8</v>
      </c>
      <c r="B9" s="30" t="s">
        <v>9</v>
      </c>
      <c r="F9" t="s">
        <v>10</v>
      </c>
      <c r="G9">
        <f>G11+G17</f>
        <v>100000</v>
      </c>
      <c r="J9">
        <f>G9</f>
        <v>100000</v>
      </c>
    </row>
    <row r="10" spans="1:19">
      <c r="A10" t="s">
        <v>11</v>
      </c>
      <c r="B10" s="30" t="b">
        <v>0</v>
      </c>
      <c r="R10">
        <v>60000</v>
      </c>
      <c r="S10">
        <f>J9+SUM(N10:R10)</f>
        <v>160000</v>
      </c>
    </row>
    <row r="11" spans="1:19">
      <c r="A11" t="s">
        <v>12</v>
      </c>
      <c r="B11" s="30">
        <v>0</v>
      </c>
      <c r="F11" t="s">
        <v>13</v>
      </c>
      <c r="G11">
        <v>75000</v>
      </c>
      <c r="H11" s="6">
        <f>G11/$G$9</f>
        <v>0.75</v>
      </c>
      <c r="I11" t="str">
        <f>F11</f>
        <v>Equity</v>
      </c>
      <c r="J11" s="6">
        <v>0.65</v>
      </c>
      <c r="K11">
        <f>J11*$J$9</f>
        <v>65000</v>
      </c>
      <c r="M11">
        <f>K11-G11</f>
        <v>-10000</v>
      </c>
      <c r="R11">
        <f>S11-G11</f>
        <v>29000</v>
      </c>
      <c r="S11">
        <f>J11*$S$10</f>
        <v>104000</v>
      </c>
    </row>
    <row r="12" spans="1:19">
      <c r="A12" t="s">
        <v>14</v>
      </c>
      <c r="B12" s="30">
        <f>C260</f>
        <v>10000000</v>
      </c>
      <c r="F12" t="s">
        <v>15</v>
      </c>
      <c r="G12">
        <v>45000</v>
      </c>
      <c r="H12" s="6">
        <f t="shared" ref="H12:H18" si="0">G12/$G$9</f>
        <v>0.45</v>
      </c>
      <c r="I12" t="str">
        <f>F12</f>
        <v>Large</v>
      </c>
      <c r="J12" s="6">
        <v>0.25</v>
      </c>
      <c r="K12">
        <f t="shared" ref="K12:K18" si="1">J12*$J$9</f>
        <v>25000</v>
      </c>
      <c r="M12">
        <f>K12-G12</f>
        <v>-20000</v>
      </c>
      <c r="R12">
        <f t="shared" ref="R12:R18" si="2">S12-G12</f>
        <v>-5000</v>
      </c>
      <c r="S12">
        <f t="shared" ref="S12:S18" si="3">J12*$S$10</f>
        <v>40000</v>
      </c>
    </row>
    <row r="13" spans="1:19">
      <c r="A13" t="s">
        <v>16</v>
      </c>
      <c r="B13" s="30">
        <v>60000</v>
      </c>
      <c r="F13" t="s">
        <v>17</v>
      </c>
      <c r="G13">
        <f>G11-G15</f>
        <v>45000</v>
      </c>
      <c r="H13" s="6">
        <f t="shared" si="0"/>
        <v>0.45</v>
      </c>
      <c r="I13" t="s">
        <v>18</v>
      </c>
      <c r="J13" s="6">
        <f>J12</f>
        <v>0.25</v>
      </c>
      <c r="K13">
        <f t="shared" si="1"/>
        <v>25000</v>
      </c>
      <c r="M13">
        <f>K13</f>
        <v>25000</v>
      </c>
      <c r="R13">
        <f t="shared" si="2"/>
        <v>-5000</v>
      </c>
      <c r="S13">
        <f t="shared" si="3"/>
        <v>40000</v>
      </c>
    </row>
    <row r="14" spans="1:19">
      <c r="A14" t="s">
        <v>19</v>
      </c>
      <c r="B14" s="30" t="s">
        <v>20</v>
      </c>
      <c r="F14" t="s">
        <v>21</v>
      </c>
      <c r="G14">
        <v>30000</v>
      </c>
      <c r="H14" s="6">
        <f t="shared" si="0"/>
        <v>0.3</v>
      </c>
      <c r="I14" t="str">
        <f>F14</f>
        <v>Small</v>
      </c>
      <c r="J14" s="6">
        <f>J11-J12</f>
        <v>0.4</v>
      </c>
      <c r="K14">
        <f t="shared" si="1"/>
        <v>40000</v>
      </c>
      <c r="M14">
        <f>K14-G14</f>
        <v>10000</v>
      </c>
      <c r="R14">
        <f t="shared" si="2"/>
        <v>34000</v>
      </c>
      <c r="S14">
        <f t="shared" si="3"/>
        <v>64000</v>
      </c>
    </row>
    <row r="15" spans="1:19">
      <c r="A15" t="s">
        <v>22</v>
      </c>
      <c r="B15" s="30">
        <v>100000</v>
      </c>
      <c r="F15" t="s">
        <v>23</v>
      </c>
      <c r="G15">
        <v>30000</v>
      </c>
      <c r="H15" s="6">
        <f t="shared" si="0"/>
        <v>0.3</v>
      </c>
      <c r="I15" t="s">
        <v>24</v>
      </c>
      <c r="J15" s="6">
        <f>J14</f>
        <v>0.4</v>
      </c>
      <c r="K15">
        <f t="shared" si="1"/>
        <v>40000</v>
      </c>
      <c r="R15">
        <f t="shared" si="2"/>
        <v>34000</v>
      </c>
      <c r="S15">
        <f t="shared" si="3"/>
        <v>64000</v>
      </c>
    </row>
    <row r="16" spans="1:19">
      <c r="A16" t="s">
        <v>25</v>
      </c>
      <c r="B16" s="30" t="b">
        <v>1</v>
      </c>
      <c r="S16">
        <f t="shared" si="3"/>
        <v>0</v>
      </c>
    </row>
    <row r="17" spans="1:19">
      <c r="A17" t="s">
        <v>26</v>
      </c>
      <c r="B17" s="30" t="b">
        <v>0</v>
      </c>
      <c r="F17" t="s">
        <v>27</v>
      </c>
      <c r="G17">
        <f>G18</f>
        <v>25000</v>
      </c>
      <c r="H17" s="6">
        <f t="shared" si="0"/>
        <v>0.25</v>
      </c>
      <c r="I17" t="str">
        <f>F17</f>
        <v>Debt</v>
      </c>
      <c r="J17" s="6">
        <f>1-J11</f>
        <v>0.35</v>
      </c>
      <c r="K17">
        <f t="shared" si="1"/>
        <v>35000</v>
      </c>
      <c r="M17">
        <f>K17-G17</f>
        <v>10000</v>
      </c>
      <c r="R17">
        <f t="shared" si="2"/>
        <v>31000</v>
      </c>
      <c r="S17">
        <f t="shared" si="3"/>
        <v>56000</v>
      </c>
    </row>
    <row r="18" spans="1:19">
      <c r="A18" t="s">
        <v>28</v>
      </c>
      <c r="B18" s="30">
        <v>15</v>
      </c>
      <c r="F18" t="s">
        <v>29</v>
      </c>
      <c r="G18">
        <v>25000</v>
      </c>
      <c r="H18" s="6">
        <f t="shared" si="0"/>
        <v>0.25</v>
      </c>
      <c r="I18" t="str">
        <f>F18</f>
        <v>ICICI debt</v>
      </c>
      <c r="J18" s="6">
        <f>J17</f>
        <v>0.35</v>
      </c>
      <c r="K18">
        <f t="shared" si="1"/>
        <v>35000</v>
      </c>
      <c r="M18">
        <f>K18-G18</f>
        <v>10000</v>
      </c>
      <c r="R18">
        <f t="shared" si="2"/>
        <v>31000</v>
      </c>
      <c r="S18">
        <f t="shared" si="3"/>
        <v>56000</v>
      </c>
    </row>
    <row r="19" spans="1:19">
      <c r="A19" t="s">
        <v>30</v>
      </c>
      <c r="B19" s="30">
        <v>7</v>
      </c>
    </row>
    <row r="20" spans="1:19">
      <c r="A20" t="s">
        <v>31</v>
      </c>
      <c r="B20" s="30">
        <v>9</v>
      </c>
    </row>
    <row r="21" spans="1:19">
      <c r="A21" t="s">
        <v>32</v>
      </c>
      <c r="B21" s="30">
        <f>B12</f>
        <v>10000000</v>
      </c>
    </row>
    <row r="22" spans="1:19">
      <c r="A22" t="s">
        <v>33</v>
      </c>
      <c r="B22" s="30" t="s">
        <v>34</v>
      </c>
    </row>
    <row r="23" spans="1:19">
      <c r="A23" t="s">
        <v>35</v>
      </c>
      <c r="B23" s="30">
        <v>-2</v>
      </c>
    </row>
    <row r="24" spans="1:19">
      <c r="A24" t="s">
        <v>36</v>
      </c>
      <c r="B24" s="30">
        <v>65</v>
      </c>
    </row>
    <row r="25" spans="1:19">
      <c r="A25" t="s">
        <v>37</v>
      </c>
      <c r="B25" s="30">
        <v>25</v>
      </c>
    </row>
    <row r="26" spans="1:19">
      <c r="A26" t="s">
        <v>38</v>
      </c>
      <c r="B26" s="30">
        <v>10</v>
      </c>
    </row>
    <row r="27" spans="1:19">
      <c r="A27" t="s">
        <v>39</v>
      </c>
      <c r="B27" s="31">
        <v>0.5</v>
      </c>
    </row>
    <row r="28" spans="1:19">
      <c r="B28" s="30"/>
    </row>
    <row r="29" spans="1:19">
      <c r="B29" s="30"/>
    </row>
    <row r="30" spans="1:19">
      <c r="A30" s="2" t="s">
        <v>40</v>
      </c>
      <c r="B30" s="32"/>
      <c r="C30" s="2"/>
      <c r="D30" s="2"/>
      <c r="E30" s="2"/>
      <c r="F30" s="2"/>
    </row>
    <row r="31" spans="1:19">
      <c r="B31" s="30"/>
    </row>
    <row r="32" spans="1:19">
      <c r="A32" t="s">
        <v>41</v>
      </c>
      <c r="B32" s="30" t="s">
        <v>42</v>
      </c>
      <c r="C32" t="s">
        <v>43</v>
      </c>
    </row>
    <row r="33" spans="1:8">
      <c r="A33" t="s">
        <v>44</v>
      </c>
      <c r="B33" s="30">
        <v>0</v>
      </c>
      <c r="C33">
        <v>24</v>
      </c>
    </row>
    <row r="34" spans="1:8">
      <c r="A34" t="s">
        <v>45</v>
      </c>
      <c r="B34" s="30">
        <f>C33+1</f>
        <v>25</v>
      </c>
      <c r="C34">
        <f>5*12</f>
        <v>60</v>
      </c>
    </row>
    <row r="35" spans="1:8">
      <c r="A35" t="s">
        <v>46</v>
      </c>
      <c r="B35" s="30"/>
    </row>
    <row r="36" spans="1:8">
      <c r="A36" t="s">
        <v>47</v>
      </c>
      <c r="B36" s="30"/>
    </row>
    <row r="37" spans="1:8">
      <c r="A37" t="s">
        <v>48</v>
      </c>
      <c r="B37" s="30">
        <f>C34+1</f>
        <v>61</v>
      </c>
    </row>
    <row r="40" spans="1:8">
      <c r="A40" t="s">
        <v>49</v>
      </c>
      <c r="B40" t="s">
        <v>50</v>
      </c>
      <c r="C40" t="s">
        <v>41</v>
      </c>
      <c r="D40" t="s">
        <v>51</v>
      </c>
      <c r="E40" t="s">
        <v>52</v>
      </c>
      <c r="F40" t="s">
        <v>53</v>
      </c>
      <c r="G40" t="s">
        <v>54</v>
      </c>
      <c r="H40" t="s">
        <v>51</v>
      </c>
    </row>
    <row r="41" spans="1:8">
      <c r="A41" s="33" t="s">
        <v>55</v>
      </c>
      <c r="B41" s="33">
        <v>60</v>
      </c>
      <c r="C41" s="34" t="str">
        <f>IF(A41="","",IF(B41&lt;$C$33,$A$33,IF(B41&gt;$C$34,$A$37,$A$34)))</f>
        <v>medium_term_goal_3</v>
      </c>
      <c r="D41" s="35">
        <f>IF(B41="","",ROUNDUP(B41/12,0))</f>
        <v>5</v>
      </c>
      <c r="E41" s="41">
        <f>25*10^5</f>
        <v>2500000</v>
      </c>
      <c r="F41" s="33" t="s">
        <v>56</v>
      </c>
      <c r="G41" s="33" t="s">
        <v>57</v>
      </c>
    </row>
    <row r="42" spans="1:8">
      <c r="A42" s="33" t="s">
        <v>58</v>
      </c>
      <c r="B42" s="33">
        <v>12</v>
      </c>
      <c r="C42" s="34" t="str">
        <f>IF(A42="","",IF(B42&lt;$C$33,$A$33,IF(B42&gt;$C$34,$A$37,$A$34)))</f>
        <v>short_term_goal</v>
      </c>
      <c r="D42" s="35">
        <f t="shared" ref="D42:D50" si="4">IF(B42="","",ROUNDUP(B42/12,0))</f>
        <v>1</v>
      </c>
      <c r="E42" s="41">
        <f>3*10^5</f>
        <v>300000</v>
      </c>
      <c r="F42" s="33" t="s">
        <v>56</v>
      </c>
      <c r="G42" s="33" t="s">
        <v>59</v>
      </c>
    </row>
    <row r="43" spans="1:8">
      <c r="A43" s="33" t="s">
        <v>60</v>
      </c>
      <c r="B43" s="33">
        <v>180</v>
      </c>
      <c r="C43" s="34" t="str">
        <f>IF(A43="","",IF(B43&lt;$C$33,$A$33,IF(B43&gt;$C$34,$A$37,$A$34)))</f>
        <v>long_term_goal</v>
      </c>
      <c r="D43" s="35">
        <f t="shared" si="4"/>
        <v>15</v>
      </c>
      <c r="E43" s="41">
        <v>20000000</v>
      </c>
      <c r="F43" s="33" t="s">
        <v>61</v>
      </c>
      <c r="G43" s="33" t="s">
        <v>62</v>
      </c>
    </row>
    <row r="44" spans="1:8">
      <c r="A44" s="33"/>
      <c r="B44" s="33"/>
      <c r="C44" s="34" t="str">
        <f t="shared" ref="C44:C50" si="5">IF(A44="","",IF(B44&lt;$C$33,$A$33,IF(B44&gt;$C$34,$A$37,$A$34)))</f>
        <v/>
      </c>
      <c r="D44" s="35" t="str">
        <f t="shared" si="4"/>
        <v/>
      </c>
      <c r="E44" s="34" t="str">
        <f>IF(C44="","",IF(D44&lt;$C$33,$A$33,IF(D44&gt;$C$34,$A$37,$A$34)))</f>
        <v/>
      </c>
      <c r="F44" s="34" t="str">
        <f>IF(D44="","",IF(E44&lt;$C$33,$A$33,IF(E44&gt;$C$34,$A$37,$A$34)))</f>
        <v/>
      </c>
      <c r="G44" s="33"/>
    </row>
    <row r="45" spans="1:8">
      <c r="A45" s="33"/>
      <c r="B45" s="33"/>
      <c r="C45" s="34" t="str">
        <f t="shared" si="5"/>
        <v/>
      </c>
      <c r="D45" s="35" t="str">
        <f t="shared" si="4"/>
        <v/>
      </c>
      <c r="E45" s="34" t="str">
        <f>IF(C45="","",IF(D45&lt;$C$33,$A$33,IF(D45&gt;$C$34,$A$37,$A$34)))</f>
        <v/>
      </c>
      <c r="F45" s="34" t="str">
        <f>IF(D45="","",IF(E45&lt;$C$33,$A$33,IF(E45&gt;$C$34,$A$37,$A$34)))</f>
        <v/>
      </c>
      <c r="G45" s="33"/>
    </row>
    <row r="46" spans="1:8">
      <c r="A46" s="33"/>
      <c r="B46" s="33"/>
      <c r="C46" s="34" t="str">
        <f t="shared" si="5"/>
        <v/>
      </c>
      <c r="D46" s="35" t="str">
        <f t="shared" si="4"/>
        <v/>
      </c>
      <c r="E46" s="34" t="str">
        <f>IF(C46="","",IF(D46&lt;$C$33,$A$33,IF(D46&gt;$C$34,$A$37,$A$34)))</f>
        <v/>
      </c>
      <c r="F46" s="34" t="str">
        <f>IF(D46="","",IF(E46&lt;$C$33,$A$33,IF(E46&gt;$C$34,$A$37,$A$34)))</f>
        <v/>
      </c>
      <c r="G46" s="33"/>
    </row>
    <row r="47" spans="1:8">
      <c r="A47" s="33"/>
      <c r="B47" s="33"/>
      <c r="C47" s="34" t="str">
        <f t="shared" si="5"/>
        <v/>
      </c>
      <c r="D47" s="35" t="str">
        <f t="shared" si="4"/>
        <v/>
      </c>
      <c r="E47" s="34"/>
      <c r="F47" s="34"/>
      <c r="G47" s="33"/>
    </row>
    <row r="48" spans="1:8">
      <c r="A48" s="33"/>
      <c r="B48" s="33"/>
      <c r="C48" s="34" t="str">
        <f t="shared" si="5"/>
        <v/>
      </c>
      <c r="D48" s="35" t="str">
        <f t="shared" si="4"/>
        <v/>
      </c>
      <c r="E48" s="34"/>
      <c r="F48" s="34"/>
      <c r="G48" s="33"/>
    </row>
    <row r="49" spans="1:7">
      <c r="A49" s="33"/>
      <c r="B49" s="33"/>
      <c r="C49" s="34" t="str">
        <f t="shared" si="5"/>
        <v/>
      </c>
      <c r="D49" s="35" t="str">
        <f t="shared" si="4"/>
        <v/>
      </c>
      <c r="E49" s="34"/>
      <c r="F49" s="34"/>
      <c r="G49" s="33"/>
    </row>
    <row r="50" spans="1:7">
      <c r="A50" s="33"/>
      <c r="B50" s="33"/>
      <c r="C50" s="34" t="str">
        <f t="shared" si="5"/>
        <v/>
      </c>
      <c r="D50" s="35" t="str">
        <f t="shared" si="4"/>
        <v/>
      </c>
      <c r="E50" s="34" t="str">
        <f>IF(C50="","",IF(D50&lt;$C$33,$A$33,IF(D50&gt;$C$34,$A$37,$A$34)))</f>
        <v/>
      </c>
      <c r="F50" s="34" t="str">
        <f>IF(D50="","",IF(E50&lt;$C$33,$A$33,IF(E50&gt;$C$34,$A$37,$A$34)))</f>
        <v/>
      </c>
      <c r="G50" s="33"/>
    </row>
    <row r="54" spans="1:7">
      <c r="A54" s="7" t="s">
        <v>63</v>
      </c>
      <c r="B54" s="7" t="s">
        <v>64</v>
      </c>
      <c r="D54" t="s">
        <v>65</v>
      </c>
      <c r="E54" t="s">
        <v>66</v>
      </c>
    </row>
    <row r="55" spans="1:7">
      <c r="A55" s="7">
        <v>0</v>
      </c>
      <c r="B55" s="7">
        <f>A55*12</f>
        <v>0</v>
      </c>
    </row>
    <row r="56" spans="1:7">
      <c r="A56" s="7">
        <f>A55+1</f>
        <v>1</v>
      </c>
      <c r="B56" s="7">
        <f>A56*12</f>
        <v>12</v>
      </c>
      <c r="D56" s="5">
        <f>SUMIF($D$41:$D$50,A56,$E$41:$E$50)</f>
        <v>300000</v>
      </c>
      <c r="E56" s="4">
        <f>D56/(1+F56)^A56</f>
        <v>283018.86792452831</v>
      </c>
      <c r="F56" s="6">
        <v>0.06</v>
      </c>
    </row>
    <row r="57" spans="1:7">
      <c r="A57" s="7">
        <f>A56+1</f>
        <v>2</v>
      </c>
      <c r="B57" s="7">
        <f>A57*12</f>
        <v>24</v>
      </c>
      <c r="D57" s="5">
        <f>SUMIF($D$41:$D$50,A57,$E$41:$E$50)</f>
        <v>0</v>
      </c>
      <c r="E57" s="4">
        <f>D57/(1+F57)^A57</f>
        <v>0</v>
      </c>
      <c r="F57" s="6">
        <v>0.06</v>
      </c>
    </row>
    <row r="58" spans="1:7">
      <c r="A58" s="7">
        <f>A57+1</f>
        <v>3</v>
      </c>
      <c r="B58" s="7">
        <f>A58*12</f>
        <v>36</v>
      </c>
      <c r="D58" s="5">
        <f>SUMIF($D$41:$D$50,A58,$E$41:$E$50)</f>
        <v>0</v>
      </c>
    </row>
    <row r="59" spans="1:7">
      <c r="A59" s="7">
        <f>A58+1</f>
        <v>4</v>
      </c>
      <c r="B59" s="7">
        <f>A59*12</f>
        <v>48</v>
      </c>
      <c r="D59" s="5">
        <f>SUMIF($D$41:$D$50,A59,$E$41:$E$50)</f>
        <v>0</v>
      </c>
    </row>
    <row r="60" spans="1:7">
      <c r="A60" s="7">
        <f>A59+1</f>
        <v>5</v>
      </c>
      <c r="B60" s="7">
        <f>A60*12</f>
        <v>60</v>
      </c>
      <c r="D60" s="5">
        <f>SUMIF($D$41:$D$50,A60,$E$41:$E$50)</f>
        <v>2500000</v>
      </c>
    </row>
    <row r="61" spans="1:7">
      <c r="A61" s="7">
        <f>A60+1</f>
        <v>6</v>
      </c>
      <c r="B61" s="7">
        <f>A61*12</f>
        <v>72</v>
      </c>
      <c r="D61" s="5">
        <f>SUMIF($D$41:$D$50,A61,$E$41:$E$50)</f>
        <v>0</v>
      </c>
    </row>
    <row r="62" spans="1:7">
      <c r="A62" s="7">
        <f>A61+1</f>
        <v>7</v>
      </c>
      <c r="B62" s="7">
        <f>A62*12</f>
        <v>84</v>
      </c>
      <c r="D62" s="5">
        <f>SUMIF($D$41:$D$50,A62,$E$41:$E$50)</f>
        <v>0</v>
      </c>
    </row>
    <row r="63" spans="1:7">
      <c r="A63" s="7">
        <f>A62+1</f>
        <v>8</v>
      </c>
      <c r="B63" s="7">
        <f>A63*12</f>
        <v>96</v>
      </c>
      <c r="D63" s="5">
        <f>SUMIF($D$41:$D$50,A63,$E$41:$E$50)</f>
        <v>0</v>
      </c>
    </row>
    <row r="64" spans="1:7">
      <c r="A64" s="7">
        <f>A63+1</f>
        <v>9</v>
      </c>
      <c r="B64" s="7">
        <f>A64*12</f>
        <v>108</v>
      </c>
      <c r="D64" s="5">
        <f>SUMIF($D$41:$D$50,A64,$E$41:$E$50)</f>
        <v>0</v>
      </c>
    </row>
    <row r="65" spans="1:6">
      <c r="A65" s="7">
        <f>A64+1</f>
        <v>10</v>
      </c>
      <c r="B65" s="7">
        <f>A65*12</f>
        <v>120</v>
      </c>
      <c r="D65" s="5">
        <f>SUMIF($D$41:$D$50,A65,$E$41:$E$50)</f>
        <v>0</v>
      </c>
      <c r="E65" s="4">
        <f>D65/(1+F65)^A65</f>
        <v>0</v>
      </c>
      <c r="F65" s="6">
        <v>0.1</v>
      </c>
    </row>
    <row r="66" spans="1:6">
      <c r="A66" s="7">
        <f>A65+1</f>
        <v>11</v>
      </c>
      <c r="B66" s="7">
        <f>A66*12</f>
        <v>132</v>
      </c>
      <c r="D66" s="5">
        <f>SUMIF($D$41:$D$50,A66,$E$41:$E$50)</f>
        <v>0</v>
      </c>
    </row>
    <row r="67" spans="1:6">
      <c r="A67" s="7">
        <f>A66+1</f>
        <v>12</v>
      </c>
      <c r="B67" s="7">
        <f>A67*12</f>
        <v>144</v>
      </c>
      <c r="D67" s="5">
        <f>SUMIF($D$41:$D$50,A67,$E$41:$E$50)</f>
        <v>0</v>
      </c>
    </row>
    <row r="68" spans="1:6">
      <c r="A68" s="7">
        <f>A67+1</f>
        <v>13</v>
      </c>
      <c r="B68" s="7">
        <f>A68*12</f>
        <v>156</v>
      </c>
      <c r="D68" s="5">
        <f>SUMIF($D$41:$D$50,A68,$E$41:$E$50)</f>
        <v>0</v>
      </c>
    </row>
    <row r="69" spans="1:6">
      <c r="A69" s="7">
        <f>A68+1</f>
        <v>14</v>
      </c>
      <c r="B69" s="7">
        <f>A69*12</f>
        <v>168</v>
      </c>
      <c r="D69" s="5">
        <f>SUMIF($D$41:$D$50,A69,$E$41:$E$50)</f>
        <v>0</v>
      </c>
    </row>
    <row r="70" spans="1:6">
      <c r="A70" s="7">
        <f>A69+1</f>
        <v>15</v>
      </c>
      <c r="B70" s="7">
        <f>A70*12</f>
        <v>180</v>
      </c>
      <c r="D70" s="5">
        <f>SUMIF($D$41:$D$50,A70,$E$41:$E$50)</f>
        <v>20000000</v>
      </c>
    </row>
    <row r="71" spans="1:6">
      <c r="A71" s="7">
        <f>A70+1</f>
        <v>16</v>
      </c>
      <c r="B71" s="7">
        <f>A71*12</f>
        <v>192</v>
      </c>
      <c r="D71" s="5">
        <f>SUMIF($D$41:$D$50,A71,$E$41:$E$50)</f>
        <v>0</v>
      </c>
    </row>
    <row r="72" spans="1:6">
      <c r="A72" s="7">
        <f>A71+1</f>
        <v>17</v>
      </c>
      <c r="B72" s="7">
        <f>A72*12</f>
        <v>204</v>
      </c>
      <c r="D72" s="5">
        <f>SUMIF($D$41:$D$50,A72,$E$41:$E$50)</f>
        <v>0</v>
      </c>
    </row>
    <row r="73" spans="1:6">
      <c r="A73" s="7">
        <f>A72+1</f>
        <v>18</v>
      </c>
      <c r="B73" s="7">
        <f>A73*12</f>
        <v>216</v>
      </c>
      <c r="D73" s="5">
        <f>SUMIF($D$41:$D$50,A73,$E$41:$E$50)</f>
        <v>0</v>
      </c>
    </row>
    <row r="74" spans="1:6">
      <c r="A74" s="7">
        <f>A73+1</f>
        <v>19</v>
      </c>
      <c r="B74" s="7">
        <f>A74*12</f>
        <v>228</v>
      </c>
      <c r="D74" s="5">
        <f>SUMIF($D$41:$D$50,A74,$E$41:$E$50)</f>
        <v>0</v>
      </c>
    </row>
    <row r="75" spans="1:6">
      <c r="A75" s="7">
        <f>A74+1</f>
        <v>20</v>
      </c>
      <c r="B75" s="7">
        <f>A75*12</f>
        <v>240</v>
      </c>
      <c r="D75" s="5">
        <f>SUMIF($D$41:$D$50,A75,$E$41:$E$50)</f>
        <v>0</v>
      </c>
    </row>
    <row r="76" spans="1:6">
      <c r="A76" s="7">
        <f>A75+1</f>
        <v>21</v>
      </c>
      <c r="B76" s="7">
        <f t="shared" ref="B76:B105" si="6">A76*12</f>
        <v>252</v>
      </c>
      <c r="D76" s="5">
        <f t="shared" ref="D76:D105" si="7">SUMIF($D$41:$D$50,A76,$E$41:$E$50)</f>
        <v>0</v>
      </c>
    </row>
    <row r="77" spans="1:6">
      <c r="A77" s="7">
        <f t="shared" ref="A77:A105" si="8">A76+1</f>
        <v>22</v>
      </c>
      <c r="B77" s="7">
        <f t="shared" si="6"/>
        <v>264</v>
      </c>
      <c r="D77" s="5">
        <f t="shared" si="7"/>
        <v>0</v>
      </c>
    </row>
    <row r="78" spans="1:6">
      <c r="A78" s="7">
        <f t="shared" si="8"/>
        <v>23</v>
      </c>
      <c r="B78" s="7">
        <f t="shared" si="6"/>
        <v>276</v>
      </c>
      <c r="D78" s="5">
        <f t="shared" si="7"/>
        <v>0</v>
      </c>
    </row>
    <row r="79" spans="1:6">
      <c r="A79" s="7">
        <f t="shared" si="8"/>
        <v>24</v>
      </c>
      <c r="B79" s="7">
        <f t="shared" si="6"/>
        <v>288</v>
      </c>
      <c r="D79" s="5">
        <f t="shared" si="7"/>
        <v>0</v>
      </c>
    </row>
    <row r="80" spans="1:6">
      <c r="A80" s="7">
        <f t="shared" si="8"/>
        <v>25</v>
      </c>
      <c r="B80" s="7">
        <f t="shared" si="6"/>
        <v>300</v>
      </c>
      <c r="D80" s="5">
        <f t="shared" si="7"/>
        <v>0</v>
      </c>
    </row>
    <row r="81" spans="1:4">
      <c r="A81" s="7">
        <f t="shared" si="8"/>
        <v>26</v>
      </c>
      <c r="B81" s="7">
        <f t="shared" si="6"/>
        <v>312</v>
      </c>
      <c r="D81" s="5">
        <f t="shared" si="7"/>
        <v>0</v>
      </c>
    </row>
    <row r="82" spans="1:4">
      <c r="A82" s="7">
        <f t="shared" si="8"/>
        <v>27</v>
      </c>
      <c r="B82" s="7">
        <f t="shared" si="6"/>
        <v>324</v>
      </c>
      <c r="D82" s="5">
        <f t="shared" si="7"/>
        <v>0</v>
      </c>
    </row>
    <row r="83" spans="1:4">
      <c r="A83" s="7">
        <f t="shared" si="8"/>
        <v>28</v>
      </c>
      <c r="B83" s="7">
        <f t="shared" si="6"/>
        <v>336</v>
      </c>
      <c r="D83" s="5">
        <f t="shared" si="7"/>
        <v>0</v>
      </c>
    </row>
    <row r="84" spans="1:4">
      <c r="A84" s="7">
        <f t="shared" si="8"/>
        <v>29</v>
      </c>
      <c r="B84" s="7">
        <f t="shared" si="6"/>
        <v>348</v>
      </c>
      <c r="D84" s="5">
        <f t="shared" si="7"/>
        <v>0</v>
      </c>
    </row>
    <row r="85" spans="1:4">
      <c r="A85" s="7">
        <f t="shared" si="8"/>
        <v>30</v>
      </c>
      <c r="B85" s="7">
        <f t="shared" si="6"/>
        <v>360</v>
      </c>
      <c r="D85" s="5">
        <f t="shared" si="7"/>
        <v>0</v>
      </c>
    </row>
    <row r="86" spans="1:4">
      <c r="A86" s="7">
        <f t="shared" si="8"/>
        <v>31</v>
      </c>
      <c r="B86" s="7">
        <f t="shared" si="6"/>
        <v>372</v>
      </c>
      <c r="D86" s="5">
        <f t="shared" si="7"/>
        <v>0</v>
      </c>
    </row>
    <row r="87" spans="1:4">
      <c r="A87" s="7">
        <f t="shared" si="8"/>
        <v>32</v>
      </c>
      <c r="B87" s="7">
        <f t="shared" si="6"/>
        <v>384</v>
      </c>
      <c r="D87" s="5">
        <f t="shared" si="7"/>
        <v>0</v>
      </c>
    </row>
    <row r="88" spans="1:4">
      <c r="A88" s="7">
        <f t="shared" si="8"/>
        <v>33</v>
      </c>
      <c r="B88" s="7">
        <f t="shared" si="6"/>
        <v>396</v>
      </c>
      <c r="D88" s="5">
        <f t="shared" si="7"/>
        <v>0</v>
      </c>
    </row>
    <row r="89" spans="1:4">
      <c r="A89" s="7">
        <f t="shared" si="8"/>
        <v>34</v>
      </c>
      <c r="B89" s="7">
        <f t="shared" si="6"/>
        <v>408</v>
      </c>
      <c r="D89" s="5">
        <f t="shared" si="7"/>
        <v>0</v>
      </c>
    </row>
    <row r="90" spans="1:4">
      <c r="A90" s="7">
        <f t="shared" si="8"/>
        <v>35</v>
      </c>
      <c r="B90" s="7">
        <f t="shared" si="6"/>
        <v>420</v>
      </c>
      <c r="D90" s="5">
        <f t="shared" si="7"/>
        <v>0</v>
      </c>
    </row>
    <row r="91" spans="1:4">
      <c r="A91" s="7">
        <f t="shared" si="8"/>
        <v>36</v>
      </c>
      <c r="B91" s="7">
        <f t="shared" si="6"/>
        <v>432</v>
      </c>
      <c r="D91" s="5">
        <f t="shared" si="7"/>
        <v>0</v>
      </c>
    </row>
    <row r="92" spans="1:4">
      <c r="A92" s="7">
        <f t="shared" si="8"/>
        <v>37</v>
      </c>
      <c r="B92" s="7">
        <f t="shared" si="6"/>
        <v>444</v>
      </c>
      <c r="D92" s="5">
        <f t="shared" si="7"/>
        <v>0</v>
      </c>
    </row>
    <row r="93" spans="1:4">
      <c r="A93" s="7">
        <f t="shared" si="8"/>
        <v>38</v>
      </c>
      <c r="B93" s="7">
        <f t="shared" si="6"/>
        <v>456</v>
      </c>
      <c r="D93" s="5">
        <f t="shared" si="7"/>
        <v>0</v>
      </c>
    </row>
    <row r="94" spans="1:4">
      <c r="A94" s="7">
        <f t="shared" si="8"/>
        <v>39</v>
      </c>
      <c r="B94" s="7">
        <f t="shared" si="6"/>
        <v>468</v>
      </c>
      <c r="D94" s="5">
        <f t="shared" si="7"/>
        <v>0</v>
      </c>
    </row>
    <row r="95" spans="1:4">
      <c r="A95" s="7">
        <f t="shared" si="8"/>
        <v>40</v>
      </c>
      <c r="B95" s="7">
        <f t="shared" si="6"/>
        <v>480</v>
      </c>
      <c r="D95" s="5">
        <f t="shared" si="7"/>
        <v>0</v>
      </c>
    </row>
    <row r="96" spans="1:4">
      <c r="A96" s="7">
        <f t="shared" si="8"/>
        <v>41</v>
      </c>
      <c r="B96" s="7">
        <f t="shared" si="6"/>
        <v>492</v>
      </c>
      <c r="D96" s="5">
        <f t="shared" si="7"/>
        <v>0</v>
      </c>
    </row>
    <row r="97" spans="1:6">
      <c r="A97" s="7">
        <f t="shared" si="8"/>
        <v>42</v>
      </c>
      <c r="B97" s="7">
        <f t="shared" si="6"/>
        <v>504</v>
      </c>
      <c r="D97" s="5">
        <f t="shared" si="7"/>
        <v>0</v>
      </c>
    </row>
    <row r="98" spans="1:6">
      <c r="A98" s="7">
        <f t="shared" si="8"/>
        <v>43</v>
      </c>
      <c r="B98" s="7">
        <f t="shared" si="6"/>
        <v>516</v>
      </c>
      <c r="D98" s="5">
        <f t="shared" si="7"/>
        <v>0</v>
      </c>
    </row>
    <row r="99" spans="1:6">
      <c r="A99" s="7">
        <f t="shared" si="8"/>
        <v>44</v>
      </c>
      <c r="B99" s="7">
        <f t="shared" si="6"/>
        <v>528</v>
      </c>
      <c r="D99" s="5">
        <f t="shared" si="7"/>
        <v>0</v>
      </c>
    </row>
    <row r="100" spans="1:6">
      <c r="A100" s="7">
        <f t="shared" si="8"/>
        <v>45</v>
      </c>
      <c r="B100" s="7">
        <f t="shared" si="6"/>
        <v>540</v>
      </c>
      <c r="D100" s="5">
        <f t="shared" si="7"/>
        <v>0</v>
      </c>
    </row>
    <row r="101" spans="1:6">
      <c r="A101" s="7">
        <f t="shared" si="8"/>
        <v>46</v>
      </c>
      <c r="B101" s="7">
        <f t="shared" si="6"/>
        <v>552</v>
      </c>
      <c r="D101" s="5">
        <f t="shared" si="7"/>
        <v>0</v>
      </c>
    </row>
    <row r="102" spans="1:6">
      <c r="A102" s="7">
        <f t="shared" si="8"/>
        <v>47</v>
      </c>
      <c r="B102" s="7">
        <f t="shared" si="6"/>
        <v>564</v>
      </c>
      <c r="D102" s="5">
        <f t="shared" si="7"/>
        <v>0</v>
      </c>
    </row>
    <row r="103" spans="1:6">
      <c r="A103" s="7">
        <f t="shared" si="8"/>
        <v>48</v>
      </c>
      <c r="B103" s="7">
        <f t="shared" si="6"/>
        <v>576</v>
      </c>
      <c r="D103" s="5">
        <f t="shared" si="7"/>
        <v>0</v>
      </c>
    </row>
    <row r="104" spans="1:6">
      <c r="A104" s="7">
        <f t="shared" si="8"/>
        <v>49</v>
      </c>
      <c r="B104" s="7">
        <f t="shared" si="6"/>
        <v>588</v>
      </c>
      <c r="D104" s="5">
        <f t="shared" si="7"/>
        <v>0</v>
      </c>
    </row>
    <row r="105" spans="1:6">
      <c r="A105" s="7">
        <f t="shared" si="8"/>
        <v>50</v>
      </c>
      <c r="B105" s="7">
        <f t="shared" si="6"/>
        <v>600</v>
      </c>
      <c r="D105" s="5">
        <f t="shared" si="7"/>
        <v>0</v>
      </c>
    </row>
    <row r="106" spans="1:6">
      <c r="A106" s="7"/>
      <c r="B106" s="7"/>
    </row>
    <row r="107" spans="1:6">
      <c r="A107" s="7"/>
      <c r="B107" s="7"/>
    </row>
    <row r="108" spans="1:6">
      <c r="A108" s="2" t="s">
        <v>67</v>
      </c>
      <c r="B108" s="2"/>
      <c r="C108" s="2"/>
      <c r="D108" s="2"/>
      <c r="E108" s="2"/>
      <c r="F108" s="2"/>
    </row>
    <row r="109" spans="1:6">
      <c r="A109" t="s">
        <v>68</v>
      </c>
      <c r="B109" t="s">
        <v>69</v>
      </c>
      <c r="D109" t="s">
        <v>70</v>
      </c>
      <c r="E109" t="s">
        <v>69</v>
      </c>
    </row>
    <row r="110" spans="1:6">
      <c r="A110" t="s">
        <v>71</v>
      </c>
      <c r="B110">
        <v>7</v>
      </c>
      <c r="D110" t="s">
        <v>72</v>
      </c>
      <c r="E110">
        <v>5</v>
      </c>
    </row>
    <row r="111" spans="1:6">
      <c r="A111" t="s">
        <v>73</v>
      </c>
      <c r="B111">
        <v>5</v>
      </c>
      <c r="D111" t="s">
        <v>74</v>
      </c>
      <c r="E111">
        <v>5</v>
      </c>
    </row>
    <row r="112" spans="1:6">
      <c r="A112" t="s">
        <v>75</v>
      </c>
      <c r="B112">
        <v>5</v>
      </c>
      <c r="D112" t="s">
        <v>76</v>
      </c>
      <c r="E112">
        <v>5</v>
      </c>
    </row>
    <row r="113" spans="1:6">
      <c r="D113" t="s">
        <v>77</v>
      </c>
      <c r="E113">
        <v>5</v>
      </c>
    </row>
    <row r="114" spans="1:6">
      <c r="A114" t="s">
        <v>78</v>
      </c>
      <c r="B114">
        <v>0</v>
      </c>
      <c r="D114" t="s">
        <v>79</v>
      </c>
      <c r="E114">
        <v>5</v>
      </c>
    </row>
    <row r="115" spans="1:6">
      <c r="A115" t="s">
        <v>80</v>
      </c>
      <c r="B115">
        <v>10</v>
      </c>
      <c r="D115" t="s">
        <v>81</v>
      </c>
      <c r="E115">
        <v>5</v>
      </c>
    </row>
    <row r="116" spans="1:6">
      <c r="A116" t="s">
        <v>82</v>
      </c>
      <c r="B116">
        <f>AVERAGE(B114:B115)</f>
        <v>5</v>
      </c>
      <c r="D116" t="s">
        <v>83</v>
      </c>
      <c r="E116">
        <v>8</v>
      </c>
    </row>
    <row r="118" spans="1:6">
      <c r="A118" s="2" t="s">
        <v>84</v>
      </c>
      <c r="B118" s="2" t="s">
        <v>85</v>
      </c>
      <c r="C118" s="2"/>
      <c r="D118" s="2"/>
      <c r="E118" s="2"/>
      <c r="F118" s="2"/>
    </row>
    <row r="120" spans="1:6">
      <c r="A120" t="s">
        <v>86</v>
      </c>
      <c r="B120" t="s">
        <v>2</v>
      </c>
    </row>
    <row r="121" spans="1:6">
      <c r="A121" t="s">
        <v>87</v>
      </c>
      <c r="B121">
        <f>IF(B16=FALSE,0,IF(B17=TRUE,6,3))</f>
        <v>3</v>
      </c>
    </row>
    <row r="122" spans="1:6">
      <c r="A122" t="s">
        <v>88</v>
      </c>
      <c r="B122">
        <f>IF(B121=0,0,ROUND(B121*B13,$B$23))</f>
        <v>180000</v>
      </c>
    </row>
    <row r="123" spans="1:6">
      <c r="A123" t="s">
        <v>89</v>
      </c>
      <c r="B123">
        <f>IF(B21&lt;0,ABS(B21),0)</f>
        <v>0</v>
      </c>
    </row>
    <row r="124" spans="1:6">
      <c r="A124" t="s">
        <v>90</v>
      </c>
      <c r="B124">
        <f>B122+B123</f>
        <v>180000</v>
      </c>
    </row>
    <row r="125" spans="1:6">
      <c r="A125" t="s">
        <v>91</v>
      </c>
      <c r="B125">
        <f>MAX(0,B21-B124)</f>
        <v>9820000</v>
      </c>
    </row>
    <row r="126" spans="1:6">
      <c r="A126" t="s">
        <v>92</v>
      </c>
      <c r="B126">
        <f>MAX(0,B124-B11)</f>
        <v>180000</v>
      </c>
    </row>
    <row r="127" spans="1:6">
      <c r="A127" t="s">
        <v>93</v>
      </c>
      <c r="B127">
        <f>B124</f>
        <v>180000</v>
      </c>
    </row>
    <row r="130" spans="1:6">
      <c r="A130" s="2" t="s">
        <v>94</v>
      </c>
      <c r="B130" s="2" t="s">
        <v>44</v>
      </c>
      <c r="C130" s="2"/>
      <c r="D130" s="2"/>
      <c r="E130" s="2"/>
      <c r="F130" s="2"/>
    </row>
    <row r="132" spans="1:6">
      <c r="A132" t="s">
        <v>95</v>
      </c>
      <c r="B132" t="str">
        <f>A244</f>
        <v>short_debt</v>
      </c>
    </row>
    <row r="133" spans="1:6">
      <c r="B133" t="str">
        <f>A245</f>
        <v>arbitrage_income</v>
      </c>
    </row>
    <row r="135" spans="1:6">
      <c r="A135" t="s">
        <v>86</v>
      </c>
      <c r="B135" t="s">
        <v>2</v>
      </c>
    </row>
    <row r="136" spans="1:6">
      <c r="A136" t="s">
        <v>96</v>
      </c>
      <c r="B136">
        <f>COUNTIF(C41:C50,B130)</f>
        <v>1</v>
      </c>
    </row>
    <row r="137" spans="1:6">
      <c r="A137" t="s">
        <v>97</v>
      </c>
      <c r="B137" s="5">
        <f>D55+D56</f>
        <v>300000</v>
      </c>
    </row>
    <row r="138" spans="1:6">
      <c r="A138" t="s">
        <v>98</v>
      </c>
      <c r="B138" s="3" t="str">
        <f>IF(B18&gt;20,B133,B132)</f>
        <v>short_debt</v>
      </c>
    </row>
    <row r="139" spans="1:6">
      <c r="A139" t="s">
        <v>99</v>
      </c>
      <c r="B139" s="5">
        <f>D57</f>
        <v>0</v>
      </c>
    </row>
    <row r="140" spans="1:6">
      <c r="A140" t="s">
        <v>98</v>
      </c>
      <c r="B140" t="str">
        <f>IF(B18&gt;12.5,B133,B132)</f>
        <v>arbitrage_income</v>
      </c>
    </row>
    <row r="141" spans="1:6">
      <c r="A141" t="s">
        <v>100</v>
      </c>
      <c r="B141" s="5">
        <f>B139+B137</f>
        <v>300000</v>
      </c>
    </row>
    <row r="142" spans="1:6">
      <c r="A142" t="s">
        <v>101</v>
      </c>
      <c r="B142" s="5">
        <f>ROUND(MIN(B141,B125),B23)</f>
        <v>300000</v>
      </c>
    </row>
    <row r="143" spans="1:6">
      <c r="A143" t="s">
        <v>91</v>
      </c>
      <c r="B143">
        <f>MAX(0,B125-B142)</f>
        <v>9520000</v>
      </c>
    </row>
    <row r="145" spans="1:6">
      <c r="A145" s="2" t="s">
        <v>102</v>
      </c>
      <c r="B145" s="2" t="s">
        <v>103</v>
      </c>
      <c r="C145" s="2"/>
      <c r="D145" s="2"/>
      <c r="E145" s="2"/>
      <c r="F145" s="2"/>
    </row>
    <row r="147" spans="1:6">
      <c r="A147" t="s">
        <v>104</v>
      </c>
    </row>
    <row r="148" spans="1:6">
      <c r="A148" s="21"/>
      <c r="B148" s="26" t="s">
        <v>105</v>
      </c>
      <c r="C148" s="26">
        <v>0</v>
      </c>
      <c r="D148" s="26">
        <f>C149</f>
        <v>4</v>
      </c>
      <c r="E148" s="26">
        <v>7</v>
      </c>
      <c r="F148" s="26"/>
    </row>
    <row r="149" spans="1:6">
      <c r="A149" s="22"/>
      <c r="B149" s="21" t="s">
        <v>106</v>
      </c>
      <c r="C149" s="21">
        <v>4</v>
      </c>
      <c r="D149" s="21">
        <v>7</v>
      </c>
      <c r="E149" s="21">
        <v>10</v>
      </c>
      <c r="F149" s="23" t="s">
        <v>107</v>
      </c>
    </row>
    <row r="150" spans="1:6">
      <c r="A150" s="21"/>
      <c r="B150" s="22">
        <v>60</v>
      </c>
      <c r="C150" s="24">
        <v>0.5</v>
      </c>
      <c r="D150" s="24">
        <v>0.3</v>
      </c>
      <c r="E150" s="24">
        <v>0.2</v>
      </c>
      <c r="F150" s="25">
        <f>IF(B110&lt;=3,C150,IF($B$5&lt;=$C$149,C150,IF($B$5&lt;=$D$149,D150,E150)))</f>
        <v>0.2</v>
      </c>
    </row>
    <row r="151" spans="1:6">
      <c r="A151" s="21"/>
      <c r="B151" s="22">
        <v>48</v>
      </c>
      <c r="C151" s="24">
        <v>0.65</v>
      </c>
      <c r="D151" s="24">
        <v>0.5</v>
      </c>
      <c r="E151" s="24">
        <v>0.35</v>
      </c>
      <c r="F151" s="25">
        <f>IF(B111&lt;=3,C151,IF($B$5&lt;=$C$149,C151,IF($B$5&lt;=$D$149,D151,E151)))</f>
        <v>0.35</v>
      </c>
    </row>
    <row r="152" spans="1:6">
      <c r="A152" s="21"/>
      <c r="B152" s="27">
        <v>36</v>
      </c>
      <c r="C152" s="28">
        <v>1</v>
      </c>
      <c r="D152" s="28">
        <v>1</v>
      </c>
      <c r="E152" s="28">
        <v>1</v>
      </c>
      <c r="F152" s="29">
        <f>IF(B112&lt;=3,C152,IF($B$5&lt;=$C$149,C152,IF($B$5&lt;=$D$149,D152,E152)))</f>
        <v>1</v>
      </c>
    </row>
    <row r="153" spans="1:6">
      <c r="A153" s="8"/>
      <c r="B153" s="8"/>
      <c r="C153" s="8"/>
      <c r="D153" s="8"/>
      <c r="E153" s="8"/>
      <c r="F153" s="8"/>
    </row>
    <row r="155" spans="1:6">
      <c r="A155" t="s">
        <v>86</v>
      </c>
      <c r="B155" t="s">
        <v>2</v>
      </c>
    </row>
    <row r="156" spans="1:6">
      <c r="A156" t="s">
        <v>108</v>
      </c>
      <c r="B156" t="s">
        <v>103</v>
      </c>
    </row>
    <row r="157" spans="1:6">
      <c r="B157" s="3"/>
    </row>
    <row r="158" spans="1:6">
      <c r="A158" t="s">
        <v>109</v>
      </c>
      <c r="B158" s="5">
        <f>D58</f>
        <v>0</v>
      </c>
    </row>
    <row r="159" spans="1:6">
      <c r="A159" t="s">
        <v>98</v>
      </c>
      <c r="B159" s="3" t="s">
        <v>110</v>
      </c>
    </row>
    <row r="160" spans="1:6">
      <c r="A160" t="s">
        <v>101</v>
      </c>
      <c r="B160" s="5">
        <f>ROUND(MIN(B158,B143)*F152,B23)</f>
        <v>0</v>
      </c>
    </row>
    <row r="161" spans="1:2">
      <c r="A161" t="s">
        <v>91</v>
      </c>
      <c r="B161" s="5">
        <f>MAX(0,B143-B160)</f>
        <v>9520000</v>
      </c>
    </row>
    <row r="162" spans="1:2">
      <c r="B162" s="5"/>
    </row>
    <row r="163" spans="1:2">
      <c r="A163" t="s">
        <v>111</v>
      </c>
      <c r="B163" s="5">
        <f>D59</f>
        <v>0</v>
      </c>
    </row>
    <row r="164" spans="1:2">
      <c r="A164" t="s">
        <v>98</v>
      </c>
      <c r="B164" s="3" t="s">
        <v>110</v>
      </c>
    </row>
    <row r="165" spans="1:2">
      <c r="A165" t="s">
        <v>101</v>
      </c>
      <c r="B165" s="5">
        <f>MIN(B163,B161)*F151</f>
        <v>0</v>
      </c>
    </row>
    <row r="166" spans="1:2">
      <c r="A166" t="s">
        <v>98</v>
      </c>
      <c r="B166" s="3" t="s">
        <v>112</v>
      </c>
    </row>
    <row r="167" spans="1:2">
      <c r="A167" t="s">
        <v>101</v>
      </c>
      <c r="B167" s="5">
        <f>ROUND(MIN(B163,B161)*(1-F151),B23)</f>
        <v>0</v>
      </c>
    </row>
    <row r="168" spans="1:2">
      <c r="A168" t="s">
        <v>91</v>
      </c>
      <c r="B168" s="5">
        <f>MAX(0,B161-B165-B167)</f>
        <v>9520000</v>
      </c>
    </row>
    <row r="169" spans="1:2">
      <c r="B169" s="5"/>
    </row>
    <row r="170" spans="1:2">
      <c r="A170" t="s">
        <v>113</v>
      </c>
      <c r="B170" s="5">
        <f>D60</f>
        <v>2500000</v>
      </c>
    </row>
    <row r="171" spans="1:2">
      <c r="A171" t="s">
        <v>98</v>
      </c>
      <c r="B171" s="3" t="s">
        <v>110</v>
      </c>
    </row>
    <row r="172" spans="1:2">
      <c r="A172" t="s">
        <v>101</v>
      </c>
      <c r="B172" s="5">
        <f>ROUND(MIN(B170,B168)*F150,B23)</f>
        <v>500000</v>
      </c>
    </row>
    <row r="173" spans="1:2">
      <c r="A173" t="s">
        <v>98</v>
      </c>
      <c r="B173" s="3" t="s">
        <v>112</v>
      </c>
    </row>
    <row r="174" spans="1:2">
      <c r="A174" t="s">
        <v>101</v>
      </c>
      <c r="B174" s="5">
        <f>MIN(B170,B168)*(1-F150)</f>
        <v>2000000</v>
      </c>
    </row>
    <row r="175" spans="1:2">
      <c r="A175" t="s">
        <v>91</v>
      </c>
      <c r="B175" s="5">
        <f>MAX(0,B168-B172-B174)</f>
        <v>7020000</v>
      </c>
    </row>
    <row r="177" spans="1:6">
      <c r="A177" s="2" t="s">
        <v>114</v>
      </c>
      <c r="B177" s="2" t="s">
        <v>48</v>
      </c>
      <c r="C177" s="2"/>
      <c r="D177" s="2"/>
      <c r="E177" s="2"/>
      <c r="F177" s="2"/>
    </row>
    <row r="179" spans="1:6">
      <c r="A179" t="s">
        <v>86</v>
      </c>
      <c r="B179" t="s">
        <v>2</v>
      </c>
    </row>
    <row r="180" spans="1:6">
      <c r="A180" t="s">
        <v>115</v>
      </c>
      <c r="B180" s="5">
        <f>ROUND(SUM(D61:D105),B23)</f>
        <v>20000000</v>
      </c>
    </row>
    <row r="181" spans="1:6">
      <c r="A181" t="s">
        <v>116</v>
      </c>
      <c r="B181" s="5">
        <f>MAX(0,B175)</f>
        <v>7020000</v>
      </c>
    </row>
    <row r="183" spans="1:6">
      <c r="E183">
        <f>3+4</f>
        <v>7</v>
      </c>
    </row>
    <row r="184" spans="1:6">
      <c r="A184" t="s">
        <v>117</v>
      </c>
      <c r="B184" s="9">
        <f>ROUNDUP(B5*2,0)/2</f>
        <v>7.5</v>
      </c>
    </row>
    <row r="185" spans="1:6">
      <c r="A185" t="s">
        <v>118</v>
      </c>
      <c r="B185" t="s">
        <v>119</v>
      </c>
      <c r="C185" t="s">
        <v>120</v>
      </c>
    </row>
    <row r="186" spans="1:6">
      <c r="A186" t="s">
        <v>121</v>
      </c>
      <c r="B186">
        <f>VLOOKUP($B$184,Table!$A$3:$G$21,2, FALSE)</f>
        <v>50</v>
      </c>
      <c r="C186">
        <f>VLOOKUP($B$184,Table!$A$3:$G$21,3, FALSE)</f>
        <v>80</v>
      </c>
      <c r="D186">
        <f>AVERAGE(B186:C186)</f>
        <v>65</v>
      </c>
    </row>
    <row r="187" spans="1:6">
      <c r="A187" t="s">
        <v>122</v>
      </c>
      <c r="B187">
        <f>VLOOKUP($B$184,Table!$A$3:$G$21,4, FALSE)</f>
        <v>10</v>
      </c>
      <c r="C187">
        <f>VLOOKUP($B$184,Table!$A$3:$G$21,5, FALSE)</f>
        <v>35</v>
      </c>
      <c r="D187">
        <f>AVERAGE(B187:C187)</f>
        <v>22.5</v>
      </c>
    </row>
    <row r="188" spans="1:6">
      <c r="A188" t="s">
        <v>123</v>
      </c>
      <c r="B188">
        <f>VLOOKUP(B184,Table!$A$3:$G$21,6, FALSE)</f>
        <v>5</v>
      </c>
      <c r="C188">
        <f>VLOOKUP($B$184,Table!$A$3:$G$21,7, FALSE)</f>
        <v>15</v>
      </c>
      <c r="D188">
        <f>AVERAGE(B188:C188)</f>
        <v>10</v>
      </c>
    </row>
    <row r="190" spans="1:6">
      <c r="A190" t="s">
        <v>124</v>
      </c>
      <c r="B190">
        <v>8</v>
      </c>
    </row>
    <row r="191" spans="1:6">
      <c r="A191" t="s">
        <v>125</v>
      </c>
      <c r="B191">
        <v>7</v>
      </c>
    </row>
    <row r="193" spans="1:6">
      <c r="A193" t="s">
        <v>126</v>
      </c>
      <c r="B193" t="s">
        <v>119</v>
      </c>
      <c r="C193" t="s">
        <v>120</v>
      </c>
      <c r="D193" t="s">
        <v>127</v>
      </c>
      <c r="E193" t="s">
        <v>128</v>
      </c>
      <c r="F193" t="s">
        <v>129</v>
      </c>
    </row>
    <row r="194" spans="1:6">
      <c r="A194" t="s">
        <v>121</v>
      </c>
      <c r="B194" s="10">
        <f>B186+(B$188-B$196)*B186/(B186+B187)</f>
        <v>50</v>
      </c>
      <c r="C194" s="10">
        <f>C186+(C$188-C$196)*C186/(C186+C187)</f>
        <v>80</v>
      </c>
      <c r="D194" s="4">
        <f>(C194-B194)*(B110-B116)/B115</f>
        <v>6</v>
      </c>
      <c r="E194" s="4">
        <f>AVERAGE(B194:C194)+D194</f>
        <v>71</v>
      </c>
      <c r="F194" s="4">
        <f>E194*100/$E$197</f>
        <v>68.59903381642512</v>
      </c>
    </row>
    <row r="195" spans="1:6">
      <c r="A195" t="s">
        <v>122</v>
      </c>
      <c r="B195" s="10">
        <f>B187+(B$188-B$196)*B187/(B186+B187)</f>
        <v>10</v>
      </c>
      <c r="C195" s="10">
        <f>C187+(C$188-C$196)*C187/(C186+C187)</f>
        <v>35</v>
      </c>
      <c r="D195" s="4">
        <f>(C195-B195)*(B111-B116)/B115</f>
        <v>0</v>
      </c>
      <c r="E195" s="4">
        <f t="shared" ref="E195:E196" si="9">AVERAGE(B195:C195)+D195</f>
        <v>22.5</v>
      </c>
      <c r="F195" s="4">
        <f t="shared" ref="F195:F196" si="10">E195*100/$E$197</f>
        <v>21.739130434782609</v>
      </c>
    </row>
    <row r="196" spans="1:6">
      <c r="A196" t="s">
        <v>123</v>
      </c>
      <c r="B196">
        <f>IF(AND($B$5&gt;B190, $B$112&lt;B191),0,B188)</f>
        <v>5</v>
      </c>
      <c r="C196">
        <f>IF(AND($B$5&gt;B190, $B$112&lt;B191),0,C188)</f>
        <v>15</v>
      </c>
      <c r="D196" s="4">
        <f>(C196-B196)*(B112-B116)/B115</f>
        <v>0</v>
      </c>
      <c r="E196" s="4">
        <f t="shared" si="9"/>
        <v>10</v>
      </c>
      <c r="F196" s="4">
        <f t="shared" si="10"/>
        <v>9.6618357487922708</v>
      </c>
    </row>
    <row r="197" spans="1:6">
      <c r="E197" s="4">
        <f>SUM(E194:E196)</f>
        <v>103.5</v>
      </c>
    </row>
    <row r="198" spans="1:6">
      <c r="E198" s="4"/>
    </row>
    <row r="199" spans="1:6">
      <c r="E199" s="4"/>
    </row>
    <row r="200" spans="1:6">
      <c r="A200" t="s">
        <v>130</v>
      </c>
      <c r="B200">
        <f>ROUND(B181*F194/100,-2)</f>
        <v>4815700</v>
      </c>
    </row>
    <row r="201" spans="1:6">
      <c r="A201" t="s">
        <v>131</v>
      </c>
      <c r="B201" s="5">
        <f>B181-B200-B202</f>
        <v>1526000</v>
      </c>
      <c r="C201" s="11">
        <f>B201/B181*100-F195</f>
        <v>-1.2386968908728591E-3</v>
      </c>
      <c r="D201" t="s">
        <v>132</v>
      </c>
    </row>
    <row r="202" spans="1:6">
      <c r="A202" t="s">
        <v>133</v>
      </c>
      <c r="B202">
        <f>ROUND(B181*F196/100,-2)</f>
        <v>678300</v>
      </c>
    </row>
    <row r="203" spans="1:6">
      <c r="A203" t="s">
        <v>134</v>
      </c>
      <c r="B203">
        <f>IF(AND(B14="old",B15&lt;150000),MIN(150000-B15, B200),0)</f>
        <v>50000</v>
      </c>
    </row>
    <row r="204" spans="1:6">
      <c r="A204" t="s">
        <v>135</v>
      </c>
      <c r="B204">
        <f>MAX(0,B200-B203)</f>
        <v>4765700</v>
      </c>
    </row>
    <row r="205" spans="1:6">
      <c r="A205" t="s">
        <v>136</v>
      </c>
      <c r="B205">
        <f>ROUND(MIN(B204*B27/(B24/100),B201/(B25/100)),-2)</f>
        <v>3665900</v>
      </c>
    </row>
    <row r="206" spans="1:6">
      <c r="A206" t="s">
        <v>137</v>
      </c>
      <c r="B206">
        <f>B205*B24/100</f>
        <v>2382835</v>
      </c>
    </row>
    <row r="207" spans="1:6">
      <c r="A207" t="s">
        <v>138</v>
      </c>
      <c r="B207">
        <f>B205*B25/100</f>
        <v>916475</v>
      </c>
    </row>
    <row r="208" spans="1:6">
      <c r="A208" t="s">
        <v>139</v>
      </c>
      <c r="B208">
        <f>B205*B26/100</f>
        <v>366590</v>
      </c>
    </row>
    <row r="209" spans="1:11">
      <c r="A209" t="s">
        <v>140</v>
      </c>
      <c r="B209">
        <f>MAX(0,ROUND((B208-B202),B23))</f>
        <v>0</v>
      </c>
    </row>
    <row r="210" spans="1:11">
      <c r="A210" t="s">
        <v>141</v>
      </c>
      <c r="B210" s="5">
        <f>B209-B211</f>
        <v>0</v>
      </c>
    </row>
    <row r="211" spans="1:11">
      <c r="A211" t="s">
        <v>142</v>
      </c>
      <c r="B211" s="5">
        <f>MIN(ROUND(B209*F195/100,B23),B201-B207)</f>
        <v>0</v>
      </c>
    </row>
    <row r="212" spans="1:11">
      <c r="A212" t="s">
        <v>135</v>
      </c>
      <c r="B212">
        <f>B204-B206-B210</f>
        <v>2382865</v>
      </c>
    </row>
    <row r="214" spans="1:11">
      <c r="A214" t="s">
        <v>143</v>
      </c>
      <c r="B214">
        <v>7</v>
      </c>
    </row>
    <row r="215" spans="1:11">
      <c r="A215" t="s">
        <v>144</v>
      </c>
      <c r="B215">
        <v>7</v>
      </c>
    </row>
    <row r="216" spans="1:11">
      <c r="A216" t="s">
        <v>145</v>
      </c>
      <c r="B216">
        <v>7</v>
      </c>
    </row>
    <row r="218" spans="1:11">
      <c r="A218" t="s">
        <v>146</v>
      </c>
      <c r="B218" t="s">
        <v>147</v>
      </c>
      <c r="C218" t="s">
        <v>148</v>
      </c>
      <c r="D218" t="s">
        <v>149</v>
      </c>
      <c r="E218" t="s">
        <v>150</v>
      </c>
      <c r="F218" t="s">
        <v>151</v>
      </c>
      <c r="G218" t="s">
        <v>128</v>
      </c>
      <c r="H218" t="s">
        <v>129</v>
      </c>
      <c r="I218" t="s">
        <v>152</v>
      </c>
      <c r="J218" t="s">
        <v>153</v>
      </c>
      <c r="K218" t="s">
        <v>154</v>
      </c>
    </row>
    <row r="219" spans="1:11">
      <c r="A219" t="s">
        <v>81</v>
      </c>
      <c r="B219">
        <f>Table!J23</f>
        <v>10</v>
      </c>
      <c r="C219">
        <f>B219+1</f>
        <v>11</v>
      </c>
      <c r="D219">
        <f>IF(E115&lt;$B$215,0,VLOOKUP($B$184,Table!$A$26:$M$44,B219,FALSE))</f>
        <v>0</v>
      </c>
      <c r="E219">
        <f>IF(E115&lt;$B$215,0,VLOOKUP($B$184,Table!$A$26:$M$44,C219,FALSE))</f>
        <v>0</v>
      </c>
      <c r="F219" s="4">
        <f>(E219-D219)*(E115-$B$116)/$B$115</f>
        <v>0</v>
      </c>
      <c r="G219" s="4">
        <f>AVERAGE(D219:E219)+F219</f>
        <v>0</v>
      </c>
      <c r="H219" s="4">
        <f>G219*100/$G$225</f>
        <v>0</v>
      </c>
      <c r="I219" s="4">
        <f>H219*$B$212/($B$212+$B$205+$B$203)</f>
        <v>0</v>
      </c>
      <c r="J219" s="4">
        <f>IF(I219&lt;$B$216,0,H219)</f>
        <v>0</v>
      </c>
      <c r="K219" s="4">
        <f>J219*100/$J$225</f>
        <v>0</v>
      </c>
    </row>
    <row r="220" spans="1:11">
      <c r="A220" t="s">
        <v>74</v>
      </c>
      <c r="B220">
        <f>Table!L23</f>
        <v>12</v>
      </c>
      <c r="C220">
        <f t="shared" ref="C220:C224" si="11">B220+1</f>
        <v>13</v>
      </c>
      <c r="D220">
        <f>IF(E111&lt;$B$214,0,VLOOKUP($B$184,Table!$A$26:$M$44,B220,FALSE))</f>
        <v>0</v>
      </c>
      <c r="E220">
        <f>IF(E111&lt;$B$214,0,VLOOKUP($B$184,Table!$A$26:$M$44,C220,FALSE))</f>
        <v>0</v>
      </c>
      <c r="F220" s="4">
        <f>(E220-D220)*(E111-$B$116)/$B$115</f>
        <v>0</v>
      </c>
      <c r="G220" s="4">
        <f t="shared" ref="G220:G224" si="12">AVERAGE(D220:E220)+F220</f>
        <v>0</v>
      </c>
      <c r="H220" s="4">
        <f t="shared" ref="H220:H224" si="13">G220*100/$G$225</f>
        <v>0</v>
      </c>
      <c r="I220" s="4">
        <f t="shared" ref="I220:I224" si="14">H220*$B$212/($B$212+$B$205+$B$203)</f>
        <v>0</v>
      </c>
      <c r="J220" s="4">
        <f t="shared" ref="J220:J224" si="15">IF(I220&lt;$B$216,0,H220)</f>
        <v>0</v>
      </c>
      <c r="K220" s="4">
        <f t="shared" ref="K220:K224" si="16">J220*100/$J$225</f>
        <v>0</v>
      </c>
    </row>
    <row r="221" spans="1:11">
      <c r="A221" t="s">
        <v>83</v>
      </c>
      <c r="B221">
        <f>Table!B23</f>
        <v>2</v>
      </c>
      <c r="C221">
        <f t="shared" si="11"/>
        <v>3</v>
      </c>
      <c r="D221">
        <f>VLOOKUP($B$184,Table!$A$26:$M$44,B221,FALSE)</f>
        <v>20</v>
      </c>
      <c r="E221">
        <f>VLOOKUP($B$184,Table!$A$26:$M$44,C221,FALSE)</f>
        <v>40</v>
      </c>
      <c r="F221" s="4">
        <f>(E221-D221)*(E116-$B$116)/$B$115</f>
        <v>6</v>
      </c>
      <c r="G221" s="4">
        <f t="shared" si="12"/>
        <v>36</v>
      </c>
      <c r="H221" s="4">
        <f t="shared" si="13"/>
        <v>33.962264150943398</v>
      </c>
      <c r="I221" s="4">
        <f t="shared" si="14"/>
        <v>13.269488259678434</v>
      </c>
      <c r="J221" s="4">
        <f t="shared" si="15"/>
        <v>33.962264150943398</v>
      </c>
      <c r="K221" s="4">
        <f t="shared" si="16"/>
        <v>39.560439560439562</v>
      </c>
    </row>
    <row r="222" spans="1:11">
      <c r="A222" t="s">
        <v>72</v>
      </c>
      <c r="B222">
        <f>Table!D23</f>
        <v>4</v>
      </c>
      <c r="C222">
        <f t="shared" si="11"/>
        <v>5</v>
      </c>
      <c r="D222">
        <f>VLOOKUP($B$184,Table!$A$26:$M$44,B222,FALSE)</f>
        <v>15</v>
      </c>
      <c r="E222">
        <f>VLOOKUP($B$184,Table!$A$26:$M$44,C222,FALSE)</f>
        <v>35</v>
      </c>
      <c r="F222" s="4">
        <f>(E222-D222)*(E110-$B$116)/$B$115</f>
        <v>0</v>
      </c>
      <c r="G222" s="4">
        <f t="shared" si="12"/>
        <v>25</v>
      </c>
      <c r="H222" s="4">
        <f t="shared" si="13"/>
        <v>23.584905660377359</v>
      </c>
      <c r="I222" s="4">
        <f t="shared" si="14"/>
        <v>9.2149224025544676</v>
      </c>
      <c r="J222" s="4">
        <f t="shared" si="15"/>
        <v>23.584905660377359</v>
      </c>
      <c r="K222" s="4">
        <f t="shared" si="16"/>
        <v>27.472527472527471</v>
      </c>
    </row>
    <row r="223" spans="1:11">
      <c r="A223" t="s">
        <v>77</v>
      </c>
      <c r="B223">
        <f>Table!F23</f>
        <v>6</v>
      </c>
      <c r="C223">
        <f t="shared" si="11"/>
        <v>7</v>
      </c>
      <c r="D223">
        <f>VLOOKUP($B$184,Table!$A$26:$M$44,B223,FALSE)</f>
        <v>20</v>
      </c>
      <c r="E223">
        <f>VLOOKUP($B$184,Table!$A$26:$M$44,C223,FALSE)</f>
        <v>40</v>
      </c>
      <c r="F223" s="4">
        <f>(E223-D223)*(E113-$B$116)/$B$115</f>
        <v>0</v>
      </c>
      <c r="G223" s="4">
        <f t="shared" si="12"/>
        <v>30</v>
      </c>
      <c r="H223" s="4">
        <f t="shared" si="13"/>
        <v>28.30188679245283</v>
      </c>
      <c r="I223" s="4">
        <f t="shared" si="14"/>
        <v>11.057906883065362</v>
      </c>
      <c r="J223" s="4">
        <f t="shared" si="15"/>
        <v>28.30188679245283</v>
      </c>
      <c r="K223" s="4">
        <f t="shared" si="16"/>
        <v>32.967032967032964</v>
      </c>
    </row>
    <row r="224" spans="1:11">
      <c r="A224" t="s">
        <v>79</v>
      </c>
      <c r="B224">
        <f>Table!H23</f>
        <v>8</v>
      </c>
      <c r="C224">
        <f t="shared" si="11"/>
        <v>9</v>
      </c>
      <c r="D224">
        <f>VLOOKUP($B$184,Table!$A$26:$M$44,B224,FALSE)</f>
        <v>5</v>
      </c>
      <c r="E224">
        <f>VLOOKUP($B$184,Table!$A$26:$M$44,C224,FALSE)</f>
        <v>25</v>
      </c>
      <c r="F224" s="4">
        <f>(E224-D224)*(E114-$B$116)/$B$115</f>
        <v>0</v>
      </c>
      <c r="G224" s="4">
        <f t="shared" si="12"/>
        <v>15</v>
      </c>
      <c r="H224" s="4">
        <f t="shared" si="13"/>
        <v>14.150943396226415</v>
      </c>
      <c r="I224" s="4">
        <f t="shared" si="14"/>
        <v>5.5289534415326811</v>
      </c>
      <c r="J224" s="4">
        <f t="shared" si="15"/>
        <v>0</v>
      </c>
      <c r="K224" s="4">
        <f t="shared" si="16"/>
        <v>0</v>
      </c>
    </row>
    <row r="225" spans="1:11">
      <c r="G225" s="4">
        <f>SUM(G219:G224)</f>
        <v>106</v>
      </c>
      <c r="H225" s="4">
        <f>SUM(H219:H224)</f>
        <v>100</v>
      </c>
      <c r="J225" s="4">
        <f>SUM(J219:J224)</f>
        <v>85.84905660377359</v>
      </c>
      <c r="K225" s="4">
        <f>SUM(K219:K224)</f>
        <v>100</v>
      </c>
    </row>
    <row r="227" spans="1:11">
      <c r="A227" t="s">
        <v>155</v>
      </c>
      <c r="B227">
        <f>ROUND(K219/100*$B$212,$B$23)</f>
        <v>0</v>
      </c>
    </row>
    <row r="228" spans="1:11">
      <c r="A228" t="s">
        <v>156</v>
      </c>
      <c r="B228">
        <f t="shared" ref="B228:B232" si="17">ROUND(K220/100*$B$212,$B$23)</f>
        <v>0</v>
      </c>
    </row>
    <row r="229" spans="1:11">
      <c r="A229" t="s">
        <v>157</v>
      </c>
      <c r="B229">
        <f t="shared" si="17"/>
        <v>942700</v>
      </c>
    </row>
    <row r="230" spans="1:11">
      <c r="A230" t="s">
        <v>158</v>
      </c>
      <c r="B230">
        <f t="shared" si="17"/>
        <v>654600</v>
      </c>
    </row>
    <row r="231" spans="1:11">
      <c r="A231" t="s">
        <v>159</v>
      </c>
      <c r="B231">
        <f t="shared" si="17"/>
        <v>785600</v>
      </c>
    </row>
    <row r="232" spans="1:11">
      <c r="A232" t="s">
        <v>160</v>
      </c>
      <c r="B232">
        <f t="shared" si="17"/>
        <v>0</v>
      </c>
    </row>
    <row r="234" spans="1:11">
      <c r="A234" t="s">
        <v>138</v>
      </c>
    </row>
    <row r="235" spans="1:11">
      <c r="A235" t="s">
        <v>161</v>
      </c>
      <c r="B235" s="5">
        <f>B201-B207-B211</f>
        <v>609525</v>
      </c>
    </row>
    <row r="236" spans="1:11">
      <c r="A236" t="s">
        <v>110</v>
      </c>
      <c r="B236" s="5">
        <f>B235</f>
        <v>609525</v>
      </c>
    </row>
    <row r="238" spans="1:11">
      <c r="A238" t="s">
        <v>162</v>
      </c>
      <c r="B238">
        <f>MAX(0,B202-(B208-B209))</f>
        <v>311710</v>
      </c>
    </row>
    <row r="239" spans="1:11">
      <c r="A239" t="s">
        <v>163</v>
      </c>
      <c r="B239">
        <f>ROUND(MAX(B238,0),B23)</f>
        <v>311700</v>
      </c>
    </row>
    <row r="241" spans="1:8">
      <c r="A241" s="2" t="s">
        <v>164</v>
      </c>
      <c r="B241" s="2"/>
      <c r="C241" s="2"/>
      <c r="D241" s="2"/>
      <c r="E241" s="2"/>
      <c r="F241" s="2"/>
      <c r="G241" s="2"/>
    </row>
    <row r="242" spans="1:8">
      <c r="A242" t="s">
        <v>165</v>
      </c>
      <c r="B242" s="37" t="s">
        <v>166</v>
      </c>
      <c r="C242" s="37" t="s">
        <v>167</v>
      </c>
      <c r="D242" s="37" t="s">
        <v>168</v>
      </c>
      <c r="E242" s="37" t="s">
        <v>169</v>
      </c>
      <c r="F242" s="37" t="s">
        <v>170</v>
      </c>
    </row>
    <row r="243" spans="1:8">
      <c r="A243" t="s">
        <v>171</v>
      </c>
      <c r="B243" s="38">
        <f>SUM(B244:B246)</f>
        <v>180000</v>
      </c>
      <c r="C243" s="38">
        <f t="shared" ref="C243:F243" si="18">SUM(C244:C246)</f>
        <v>300000</v>
      </c>
      <c r="D243" s="38">
        <f t="shared" si="18"/>
        <v>500000</v>
      </c>
      <c r="E243" s="38">
        <f t="shared" si="18"/>
        <v>609525</v>
      </c>
      <c r="F243" s="38">
        <f t="shared" si="18"/>
        <v>1589525</v>
      </c>
    </row>
    <row r="244" spans="1:8">
      <c r="A244" t="s">
        <v>172</v>
      </c>
      <c r="B244" s="38">
        <f>+B124</f>
        <v>180000</v>
      </c>
      <c r="C244" s="38">
        <f>IF($B$138=$A244,$B$137,0)+IF($B$140=$A244,$B$139,0)</f>
        <v>300000</v>
      </c>
      <c r="D244" s="38"/>
      <c r="E244" s="38"/>
      <c r="F244" s="38">
        <f>SUM(B244:E244)</f>
        <v>480000</v>
      </c>
    </row>
    <row r="245" spans="1:8">
      <c r="A245" t="s">
        <v>173</v>
      </c>
      <c r="B245" s="38"/>
      <c r="C245" s="38">
        <f>IF($B$138=$A245,$B$137,0)+IF($B$140=$A245,$B$139,0)</f>
        <v>0</v>
      </c>
      <c r="D245" s="38"/>
      <c r="E245" s="38"/>
      <c r="F245" s="38">
        <f>SUM(B245:E245)</f>
        <v>0</v>
      </c>
    </row>
    <row r="246" spans="1:8">
      <c r="A246" t="s">
        <v>110</v>
      </c>
      <c r="B246" s="38"/>
      <c r="C246" s="38"/>
      <c r="D246" s="38">
        <f>B160+B165+B172</f>
        <v>500000</v>
      </c>
      <c r="E246" s="38">
        <f>B236</f>
        <v>609525</v>
      </c>
      <c r="F246" s="38">
        <f t="shared" ref="F246:F256" si="19">SUM(B246:E246)</f>
        <v>1109525</v>
      </c>
    </row>
    <row r="247" spans="1:8">
      <c r="A247" t="s">
        <v>174</v>
      </c>
      <c r="B247" s="38">
        <f t="shared" ref="B247:D247" si="20">SUM(B248:B255)</f>
        <v>0</v>
      </c>
      <c r="C247" s="38">
        <f t="shared" si="20"/>
        <v>0</v>
      </c>
      <c r="D247" s="38">
        <f t="shared" si="20"/>
        <v>2000000</v>
      </c>
      <c r="E247" s="38">
        <f>SUM(E248:E255)</f>
        <v>6098800</v>
      </c>
      <c r="F247" s="38">
        <f t="shared" si="19"/>
        <v>8098800</v>
      </c>
    </row>
    <row r="248" spans="1:8">
      <c r="A248" t="s">
        <v>175</v>
      </c>
      <c r="B248" s="38"/>
      <c r="C248" s="38"/>
      <c r="D248" s="38"/>
      <c r="E248" s="38">
        <f>B203</f>
        <v>50000</v>
      </c>
      <c r="F248" s="38">
        <f t="shared" si="19"/>
        <v>50000</v>
      </c>
    </row>
    <row r="249" spans="1:8">
      <c r="A249" t="s">
        <v>176</v>
      </c>
      <c r="B249" s="38"/>
      <c r="C249" s="38"/>
      <c r="D249" s="38">
        <f>B167+B174</f>
        <v>2000000</v>
      </c>
      <c r="E249" s="38">
        <f>B205</f>
        <v>3665900</v>
      </c>
      <c r="F249" s="38">
        <f t="shared" si="19"/>
        <v>5665900</v>
      </c>
    </row>
    <row r="250" spans="1:8">
      <c r="A250" t="s">
        <v>72</v>
      </c>
      <c r="B250" s="38"/>
      <c r="C250" s="38"/>
      <c r="D250" s="38"/>
      <c r="E250" s="38">
        <f>SUMIF($A$227:$A$232,CONCATENATE(A250,"_amount"),$B$227:$B$232)</f>
        <v>654600</v>
      </c>
      <c r="F250" s="38">
        <f t="shared" si="19"/>
        <v>654600</v>
      </c>
    </row>
    <row r="251" spans="1:8">
      <c r="A251" t="s">
        <v>77</v>
      </c>
      <c r="B251" s="38"/>
      <c r="C251" s="38"/>
      <c r="D251" s="38"/>
      <c r="E251" s="38">
        <f t="shared" ref="E251:E255" si="21">SUMIF($A$227:$A$232,CONCATENATE(A251,"_amount"),$B$227:$B$232)</f>
        <v>785600</v>
      </c>
      <c r="F251" s="38">
        <f t="shared" si="19"/>
        <v>785600</v>
      </c>
    </row>
    <row r="252" spans="1:8">
      <c r="A252" t="s">
        <v>79</v>
      </c>
      <c r="B252" s="38"/>
      <c r="C252" s="38"/>
      <c r="D252" s="38"/>
      <c r="E252" s="38">
        <f t="shared" si="21"/>
        <v>0</v>
      </c>
      <c r="F252" s="38">
        <f t="shared" si="19"/>
        <v>0</v>
      </c>
    </row>
    <row r="253" spans="1:8">
      <c r="A253" t="s">
        <v>74</v>
      </c>
      <c r="B253" s="38"/>
      <c r="C253" s="38"/>
      <c r="D253" s="38"/>
      <c r="E253" s="38">
        <f t="shared" si="21"/>
        <v>0</v>
      </c>
      <c r="F253" s="38">
        <f t="shared" si="19"/>
        <v>0</v>
      </c>
    </row>
    <row r="254" spans="1:8">
      <c r="A254" t="s">
        <v>81</v>
      </c>
      <c r="B254" s="38"/>
      <c r="C254" s="38"/>
      <c r="D254" s="38"/>
      <c r="E254" s="38">
        <f t="shared" si="21"/>
        <v>0</v>
      </c>
      <c r="F254" s="38">
        <f t="shared" si="19"/>
        <v>0</v>
      </c>
    </row>
    <row r="255" spans="1:8">
      <c r="A255" t="s">
        <v>83</v>
      </c>
      <c r="B255" s="38"/>
      <c r="C255" s="38"/>
      <c r="D255" s="38"/>
      <c r="E255" s="38">
        <f t="shared" si="21"/>
        <v>942700</v>
      </c>
      <c r="F255" s="38">
        <f t="shared" si="19"/>
        <v>942700</v>
      </c>
      <c r="H255" t="s">
        <v>177</v>
      </c>
    </row>
    <row r="256" spans="1:8">
      <c r="A256" t="s">
        <v>163</v>
      </c>
      <c r="B256" s="38"/>
      <c r="C256" s="38"/>
      <c r="D256" s="38"/>
      <c r="E256" s="38">
        <f>B239</f>
        <v>311700</v>
      </c>
      <c r="F256" s="38">
        <f t="shared" si="19"/>
        <v>311700</v>
      </c>
      <c r="H256" s="40">
        <f>B21-F257</f>
        <v>-25</v>
      </c>
    </row>
    <row r="257" spans="1:12">
      <c r="A257" s="36" t="s">
        <v>170</v>
      </c>
      <c r="B257" s="39">
        <f>SUM(B256,B247,B243)</f>
        <v>180000</v>
      </c>
      <c r="C257" s="39">
        <f t="shared" ref="C257:F257" si="22">SUM(C256,C247,C243)</f>
        <v>300000</v>
      </c>
      <c r="D257" s="39">
        <f t="shared" si="22"/>
        <v>2500000</v>
      </c>
      <c r="E257" s="39">
        <f t="shared" si="22"/>
        <v>7020025</v>
      </c>
      <c r="F257" s="39">
        <f t="shared" si="22"/>
        <v>10000025</v>
      </c>
      <c r="H257" s="40">
        <f>F257-SUM(B257:E257)</f>
        <v>0</v>
      </c>
    </row>
    <row r="258" spans="1:12" hidden="1" outlineLevel="1"/>
    <row r="259" spans="1:12" hidden="1" outlineLevel="1"/>
    <row r="260" spans="1:12" hidden="1" outlineLevel="1">
      <c r="C260">
        <v>10000000</v>
      </c>
      <c r="F260">
        <v>5000000</v>
      </c>
      <c r="I260">
        <v>10000000</v>
      </c>
    </row>
    <row r="261" spans="1:12" hidden="1" outlineLevel="1">
      <c r="A261" t="str">
        <f>A257</f>
        <v>total</v>
      </c>
      <c r="B261" s="43">
        <f>B262+B266+B275</f>
        <v>0.99999999999999989</v>
      </c>
      <c r="C261" s="5">
        <f>E257</f>
        <v>7020025</v>
      </c>
      <c r="E261" s="43">
        <v>1</v>
      </c>
      <c r="F261" s="5">
        <v>2020125</v>
      </c>
      <c r="H261" s="43">
        <v>0.99999999999999989</v>
      </c>
      <c r="I261" s="5">
        <v>7020025</v>
      </c>
      <c r="K261" s="43">
        <v>1</v>
      </c>
      <c r="L261" s="5">
        <v>5000125</v>
      </c>
    </row>
    <row r="262" spans="1:12" hidden="1" outlineLevel="1">
      <c r="A262" t="str">
        <f>A243</f>
        <v>debt_subgroup</v>
      </c>
      <c r="B262" s="43">
        <f>C262/$C$261</f>
        <v>8.6826613865335231E-2</v>
      </c>
      <c r="C262" s="5">
        <f>E243</f>
        <v>609525</v>
      </c>
      <c r="D262" s="42"/>
      <c r="E262" s="43">
        <v>9.0204814058535976E-2</v>
      </c>
      <c r="F262" s="5">
        <v>182225</v>
      </c>
      <c r="H262" s="43">
        <v>8.6826613865335231E-2</v>
      </c>
      <c r="I262" s="5">
        <v>609525</v>
      </c>
      <c r="K262" s="43">
        <v>9.0204814058535976E-2</v>
      </c>
      <c r="L262" s="5">
        <v>1162225</v>
      </c>
    </row>
    <row r="263" spans="1:12" hidden="1" outlineLevel="1">
      <c r="A263" t="str">
        <f>A244</f>
        <v>short_debt</v>
      </c>
      <c r="B263" s="43">
        <f t="shared" ref="B263:B275" si="23">C263/$C$261</f>
        <v>0</v>
      </c>
      <c r="C263" s="5">
        <f t="shared" ref="C263:C275" si="24">E244</f>
        <v>0</v>
      </c>
      <c r="D263" s="42"/>
      <c r="E263" s="43">
        <v>0</v>
      </c>
      <c r="F263" s="5">
        <v>0</v>
      </c>
      <c r="H263" s="43">
        <v>0</v>
      </c>
      <c r="I263" s="5">
        <v>0</v>
      </c>
      <c r="K263" s="43">
        <v>0</v>
      </c>
      <c r="L263" s="5">
        <v>480000</v>
      </c>
    </row>
    <row r="264" spans="1:12" hidden="1" outlineLevel="1">
      <c r="A264" t="str">
        <f>A245</f>
        <v>arbitrage_income</v>
      </c>
      <c r="B264" s="43">
        <f t="shared" si="23"/>
        <v>0</v>
      </c>
      <c r="C264" s="5">
        <f t="shared" si="24"/>
        <v>0</v>
      </c>
      <c r="D264" s="42"/>
      <c r="E264" s="43">
        <v>0</v>
      </c>
      <c r="F264" s="5">
        <v>0</v>
      </c>
      <c r="H264" s="43">
        <v>0</v>
      </c>
      <c r="I264" s="5">
        <v>0</v>
      </c>
      <c r="K264" s="43">
        <v>0</v>
      </c>
      <c r="L264" s="5">
        <v>0</v>
      </c>
    </row>
    <row r="265" spans="1:12" hidden="1" outlineLevel="1">
      <c r="A265" t="str">
        <f>A246</f>
        <v>arbitrage_plus_income</v>
      </c>
      <c r="B265" s="43">
        <f t="shared" si="23"/>
        <v>8.6826613865335231E-2</v>
      </c>
      <c r="C265" s="5">
        <f t="shared" si="24"/>
        <v>609525</v>
      </c>
      <c r="D265" s="42"/>
      <c r="E265" s="43">
        <v>9.0204814058535976E-2</v>
      </c>
      <c r="F265" s="5">
        <v>182225</v>
      </c>
      <c r="H265" s="43">
        <v>8.6826613865335231E-2</v>
      </c>
      <c r="I265" s="5">
        <v>609525</v>
      </c>
      <c r="K265" s="43">
        <v>9.0204814058535976E-2</v>
      </c>
      <c r="L265" s="5">
        <v>682225</v>
      </c>
    </row>
    <row r="266" spans="1:12" hidden="1" outlineLevel="1">
      <c r="A266" t="str">
        <f>A247</f>
        <v>equities_subgroup</v>
      </c>
      <c r="B266" s="43">
        <f t="shared" si="23"/>
        <v>0.86877183485813791</v>
      </c>
      <c r="C266" s="5">
        <f t="shared" si="24"/>
        <v>6098800</v>
      </c>
      <c r="D266" s="42"/>
      <c r="E266" s="43">
        <v>0.86400594022647115</v>
      </c>
      <c r="F266" s="5">
        <v>1745400</v>
      </c>
      <c r="H266" s="43">
        <v>0.86877183485813791</v>
      </c>
      <c r="I266" s="5">
        <v>6098800</v>
      </c>
      <c r="K266" s="43">
        <v>0.86400594022647115</v>
      </c>
      <c r="L266" s="5">
        <v>3745400</v>
      </c>
    </row>
    <row r="267" spans="1:12" hidden="1" outlineLevel="1">
      <c r="A267" t="str">
        <f>A248</f>
        <v>tax_efficient_equities</v>
      </c>
      <c r="B267" s="43">
        <f t="shared" si="23"/>
        <v>7.1224817575435981E-3</v>
      </c>
      <c r="C267" s="5">
        <f t="shared" si="24"/>
        <v>50000</v>
      </c>
      <c r="D267" s="42"/>
      <c r="E267" s="43">
        <v>2.4750943629725883E-2</v>
      </c>
      <c r="F267" s="5">
        <v>50000</v>
      </c>
      <c r="H267" s="43">
        <v>7.1224817575435981E-3</v>
      </c>
      <c r="I267" s="5">
        <v>50000</v>
      </c>
      <c r="K267" s="43">
        <v>2.4750943629725883E-2</v>
      </c>
      <c r="L267" s="5">
        <v>50000</v>
      </c>
    </row>
    <row r="268" spans="1:12" hidden="1" outlineLevel="1">
      <c r="A268" t="str">
        <f>A249</f>
        <v>multi_asset</v>
      </c>
      <c r="B268" s="43">
        <f t="shared" si="23"/>
        <v>0.52220611749958157</v>
      </c>
      <c r="C268" s="5">
        <f t="shared" si="24"/>
        <v>3665900</v>
      </c>
      <c r="D268" s="42"/>
      <c r="E268" s="43">
        <v>0.50863189159086686</v>
      </c>
      <c r="F268" s="5">
        <v>1027500</v>
      </c>
      <c r="H268" s="43">
        <v>0.52220611749958157</v>
      </c>
      <c r="I268" s="5">
        <v>3665900</v>
      </c>
      <c r="K268" s="43">
        <v>0.50863189159086686</v>
      </c>
      <c r="L268" s="5">
        <v>3027500</v>
      </c>
    </row>
    <row r="269" spans="1:12" hidden="1" outlineLevel="1">
      <c r="A269" t="str">
        <f>A250</f>
        <v>low_beta_equities</v>
      </c>
      <c r="B269" s="43">
        <f t="shared" si="23"/>
        <v>9.3247531169760797E-2</v>
      </c>
      <c r="C269" s="5">
        <f t="shared" si="24"/>
        <v>654600</v>
      </c>
      <c r="D269" s="42"/>
      <c r="E269" s="43">
        <v>9.0835963121093988E-2</v>
      </c>
      <c r="F269" s="5">
        <v>183500</v>
      </c>
      <c r="H269" s="43">
        <v>9.3247531169760797E-2</v>
      </c>
      <c r="I269" s="5">
        <v>654600</v>
      </c>
      <c r="K269" s="43">
        <v>9.0835963121093988E-2</v>
      </c>
      <c r="L269" s="5">
        <v>183500</v>
      </c>
    </row>
    <row r="270" spans="1:12" hidden="1" outlineLevel="1">
      <c r="A270" t="str">
        <f>A251</f>
        <v>medium_beta_equities</v>
      </c>
      <c r="B270" s="43">
        <f t="shared" si="23"/>
        <v>0.11190843337452502</v>
      </c>
      <c r="C270" s="5">
        <f t="shared" si="24"/>
        <v>785600</v>
      </c>
      <c r="D270" s="42"/>
      <c r="E270" s="43">
        <v>0.10900315574531279</v>
      </c>
      <c r="F270" s="5">
        <v>220200</v>
      </c>
      <c r="H270" s="43">
        <v>0.11190843337452502</v>
      </c>
      <c r="I270" s="5">
        <v>785600</v>
      </c>
      <c r="K270" s="43">
        <v>0.10900315574531279</v>
      </c>
      <c r="L270" s="5">
        <v>220200</v>
      </c>
    </row>
    <row r="271" spans="1:12" hidden="1" outlineLevel="1">
      <c r="A271" t="str">
        <f>A252</f>
        <v>high_beta_equities</v>
      </c>
      <c r="B271" s="43">
        <f t="shared" si="23"/>
        <v>0</v>
      </c>
      <c r="C271" s="5">
        <f t="shared" si="24"/>
        <v>0</v>
      </c>
      <c r="D271" s="42"/>
      <c r="E271" s="43">
        <v>0</v>
      </c>
      <c r="F271" s="5">
        <v>0</v>
      </c>
      <c r="H271" s="43">
        <v>0</v>
      </c>
      <c r="I271" s="5">
        <v>0</v>
      </c>
      <c r="K271" s="43">
        <v>0</v>
      </c>
      <c r="L271" s="5">
        <v>0</v>
      </c>
    </row>
    <row r="272" spans="1:12" hidden="1" outlineLevel="1">
      <c r="A272" t="str">
        <f>A253</f>
        <v>value_equities</v>
      </c>
      <c r="B272" s="43">
        <f t="shared" si="23"/>
        <v>0</v>
      </c>
      <c r="C272" s="5">
        <f t="shared" si="24"/>
        <v>0</v>
      </c>
      <c r="D272" s="42"/>
      <c r="E272" s="43">
        <v>0</v>
      </c>
      <c r="F272" s="5">
        <v>0</v>
      </c>
      <c r="H272" s="43">
        <v>0</v>
      </c>
      <c r="I272" s="5">
        <v>0</v>
      </c>
      <c r="K272" s="43">
        <v>0</v>
      </c>
      <c r="L272" s="5">
        <v>0</v>
      </c>
    </row>
    <row r="273" spans="1:12" hidden="1" outlineLevel="1">
      <c r="A273" t="str">
        <f>A254</f>
        <v>sector_equities</v>
      </c>
      <c r="B273" s="43">
        <f t="shared" si="23"/>
        <v>0</v>
      </c>
      <c r="C273" s="5">
        <f t="shared" si="24"/>
        <v>0</v>
      </c>
      <c r="D273" s="42"/>
      <c r="E273" s="43">
        <v>0</v>
      </c>
      <c r="F273" s="5">
        <v>0</v>
      </c>
      <c r="H273" s="43">
        <v>0</v>
      </c>
      <c r="I273" s="5">
        <v>0</v>
      </c>
      <c r="K273" s="43">
        <v>0</v>
      </c>
      <c r="L273" s="5">
        <v>0</v>
      </c>
    </row>
    <row r="274" spans="1:12" hidden="1" outlineLevel="1">
      <c r="A274" t="str">
        <f>A255</f>
        <v>us_equities</v>
      </c>
      <c r="B274" s="43">
        <f t="shared" si="23"/>
        <v>0.134287271056727</v>
      </c>
      <c r="C274" s="5">
        <f t="shared" si="24"/>
        <v>942700</v>
      </c>
      <c r="D274" s="42"/>
      <c r="E274" s="43">
        <v>0.13078398613947156</v>
      </c>
      <c r="F274" s="5">
        <v>264200</v>
      </c>
      <c r="H274" s="43">
        <v>0.134287271056727</v>
      </c>
      <c r="I274" s="5">
        <v>942700</v>
      </c>
      <c r="K274" s="43">
        <v>0.13078398613947156</v>
      </c>
      <c r="L274" s="5">
        <v>264200</v>
      </c>
    </row>
    <row r="275" spans="1:12" hidden="1" outlineLevel="1">
      <c r="A275" t="str">
        <f>A256</f>
        <v>gold_commodities</v>
      </c>
      <c r="B275" s="43">
        <f t="shared" si="23"/>
        <v>4.4401551276526792E-2</v>
      </c>
      <c r="C275" s="5">
        <f t="shared" si="24"/>
        <v>311700</v>
      </c>
      <c r="D275" s="42"/>
      <c r="E275" s="43">
        <v>4.5789245714992884E-2</v>
      </c>
      <c r="F275" s="5">
        <v>92500</v>
      </c>
      <c r="H275" s="43">
        <v>4.4401551276526792E-2</v>
      </c>
      <c r="I275" s="5">
        <v>311700</v>
      </c>
      <c r="K275" s="43">
        <v>4.5789245714992884E-2</v>
      </c>
      <c r="L275" s="5">
        <v>92500</v>
      </c>
    </row>
    <row r="276" spans="1:12" hidden="1" outlineLevel="1">
      <c r="D276" s="42"/>
    </row>
    <row r="277" spans="1:12" hidden="1" outlineLevel="1"/>
    <row r="278" spans="1:12" collapsed="1"/>
    <row r="279" spans="1:12">
      <c r="A279" s="2" t="s">
        <v>178</v>
      </c>
      <c r="B279" s="2"/>
      <c r="C279" s="2"/>
      <c r="D279" s="2"/>
      <c r="E279" s="2"/>
      <c r="F279" s="2"/>
      <c r="G279" s="2"/>
      <c r="H279" s="2"/>
      <c r="I279" s="2"/>
      <c r="J279" s="2"/>
      <c r="K279" s="2"/>
    </row>
    <row r="280" spans="1:12">
      <c r="A280" s="44" t="s">
        <v>179</v>
      </c>
      <c r="B280" s="45">
        <v>20</v>
      </c>
      <c r="C280" s="44" t="s">
        <v>180</v>
      </c>
    </row>
    <row r="281" spans="1:12">
      <c r="A281" s="44" t="s">
        <v>181</v>
      </c>
      <c r="B281" s="45">
        <v>10</v>
      </c>
      <c r="C281" s="44" t="s">
        <v>180</v>
      </c>
    </row>
    <row r="282" spans="1:12">
      <c r="A282" s="44"/>
      <c r="B282" s="45"/>
      <c r="C282" s="44"/>
    </row>
    <row r="283" spans="1:12">
      <c r="A283" s="44"/>
      <c r="B283" s="45"/>
      <c r="C283" s="44"/>
    </row>
    <row r="285" spans="1:12">
      <c r="A285" t="str">
        <f>Table!P1</f>
        <v>asset_subgroup</v>
      </c>
      <c r="B285" t="str">
        <f>Table!Q1</f>
        <v>sub_category</v>
      </c>
      <c r="C285" t="str">
        <f>Table!R1</f>
        <v>recommended_fund</v>
      </c>
      <c r="D285" t="str">
        <f>Table!S1</f>
        <v>isin</v>
      </c>
      <c r="E285" t="str">
        <f>Table!T1</f>
        <v>Rank</v>
      </c>
      <c r="F285" t="s">
        <v>128</v>
      </c>
      <c r="G285" t="s">
        <v>182</v>
      </c>
      <c r="H285" t="s">
        <v>183</v>
      </c>
      <c r="I285" t="s">
        <v>184</v>
      </c>
      <c r="J285" t="s">
        <v>185</v>
      </c>
      <c r="K285" t="s">
        <v>186</v>
      </c>
    </row>
    <row r="286" spans="1:12">
      <c r="A286" t="str">
        <f>Table!P2</f>
        <v>low_beta_equities</v>
      </c>
      <c r="B286" t="str">
        <f>Table!Q2</f>
        <v>Large Cap Fund</v>
      </c>
      <c r="C286" t="str">
        <f>Table!R2</f>
        <v>Nippon India Large Cap Fund - Growth Plan - Growth Option</v>
      </c>
      <c r="D286" t="str">
        <f>Table!S2</f>
        <v>INF204K01562</v>
      </c>
      <c r="E286">
        <f>Table!T2</f>
        <v>1</v>
      </c>
      <c r="F286" s="5">
        <f>IF(E286=1,SUMIF($A$243:$A$256,A286,$F$243:$F$256),0)</f>
        <v>654600</v>
      </c>
      <c r="G286" s="4">
        <f>F286/$F$322*100</f>
        <v>6.5459836350409129</v>
      </c>
      <c r="H286" s="5">
        <f>IF(A286=$A$302,$B$280,$B$281)</f>
        <v>10</v>
      </c>
      <c r="I286" s="4">
        <f>IF(E286=1,MIN(G286,H286),IF(E286=2,MAX(0,G285-H285),0))</f>
        <v>6.5459836350409129</v>
      </c>
      <c r="J286" s="4">
        <f>IF(E286=2,MIN(I286,H286),IF(E286=3,MAX(0,I285-H285),I286))</f>
        <v>6.5459836350409129</v>
      </c>
      <c r="K286" s="38">
        <f>J286*$F$257/100</f>
        <v>654600.00000000012</v>
      </c>
    </row>
    <row r="287" spans="1:12">
      <c r="A287" t="str">
        <f>Table!P3</f>
        <v>low_beta_equities</v>
      </c>
      <c r="B287" t="str">
        <f>Table!Q3</f>
        <v>Large Cap Fund</v>
      </c>
      <c r="C287" t="str">
        <f>Table!R3</f>
        <v>Large Cap Fund_2</v>
      </c>
      <c r="D287">
        <f>Table!S3</f>
        <v>0</v>
      </c>
      <c r="E287">
        <f>Table!T3</f>
        <v>2</v>
      </c>
      <c r="F287" s="5">
        <f t="shared" ref="F287:F320" si="25">IF(E287=1,SUMIF($A$243:$A$256,A287,$F$243:$F$256),0)</f>
        <v>0</v>
      </c>
      <c r="G287" s="4">
        <f>F287/$F$322*100</f>
        <v>0</v>
      </c>
      <c r="H287" s="5">
        <f t="shared" ref="H287:H310" si="26">IF(A287=$A$302,$B$280,$B$281)</f>
        <v>10</v>
      </c>
      <c r="I287" s="4">
        <f t="shared" ref="I287:I310" si="27">IF(E287=1,MIN(G287,H287),IF(E287=2,MAX(0,G286-H286),0))</f>
        <v>0</v>
      </c>
      <c r="J287" s="4">
        <f t="shared" ref="J287:J310" si="28">IF(E287=2,MIN(I287,H287),IF(E287=3,MAX(0,I286-H286),I287))</f>
        <v>0</v>
      </c>
      <c r="K287" s="38">
        <f t="shared" ref="K287:K321" si="29">J287*$F$257/100</f>
        <v>0</v>
      </c>
    </row>
    <row r="288" spans="1:12">
      <c r="A288" t="str">
        <f>Table!P4</f>
        <v>medium_beta_equities</v>
      </c>
      <c r="B288" t="str">
        <f>Table!Q4</f>
        <v>Flexi Cap Fund</v>
      </c>
      <c r="C288" t="str">
        <f>Table!R4</f>
        <v>Parag Parikh Flexi Cap Fund - Direct Plan - Growth</v>
      </c>
      <c r="D288" t="str">
        <f>Table!S4</f>
        <v>INF879O01027</v>
      </c>
      <c r="E288">
        <f>Table!T4</f>
        <v>1</v>
      </c>
      <c r="F288" s="5">
        <f t="shared" si="25"/>
        <v>785600</v>
      </c>
      <c r="G288" s="4">
        <f>F288/$F$322*100</f>
        <v>7.8559803600491005</v>
      </c>
      <c r="H288" s="5">
        <f t="shared" si="26"/>
        <v>10</v>
      </c>
      <c r="I288" s="4">
        <f t="shared" si="27"/>
        <v>7.8559803600491005</v>
      </c>
      <c r="J288" s="4">
        <f t="shared" si="28"/>
        <v>7.8559803600491005</v>
      </c>
      <c r="K288" s="38">
        <f t="shared" si="29"/>
        <v>785600</v>
      </c>
    </row>
    <row r="289" spans="1:11">
      <c r="A289" t="str">
        <f>Table!P5</f>
        <v>medium_beta_equities</v>
      </c>
      <c r="B289" t="str">
        <f>Table!Q5</f>
        <v>Flexi Cap Fund</v>
      </c>
      <c r="C289" t="str">
        <f>Table!R5</f>
        <v>Flexi Cap Fund_2</v>
      </c>
      <c r="D289">
        <f>Table!S5</f>
        <v>0</v>
      </c>
      <c r="E289">
        <f>Table!T5</f>
        <v>2</v>
      </c>
      <c r="F289" s="5">
        <f t="shared" si="25"/>
        <v>0</v>
      </c>
      <c r="G289" s="4">
        <f>F289/$F$322*100</f>
        <v>0</v>
      </c>
      <c r="H289" s="5">
        <f t="shared" si="26"/>
        <v>10</v>
      </c>
      <c r="I289" s="4">
        <f t="shared" si="27"/>
        <v>0</v>
      </c>
      <c r="J289" s="4">
        <f t="shared" si="28"/>
        <v>0</v>
      </c>
      <c r="K289" s="38">
        <f t="shared" si="29"/>
        <v>0</v>
      </c>
    </row>
    <row r="290" spans="1:11">
      <c r="A290" t="str">
        <f>Table!P6</f>
        <v>high_beta_equities</v>
      </c>
      <c r="B290" t="str">
        <f>Table!Q6</f>
        <v>Small Cap Fund</v>
      </c>
      <c r="C290" t="str">
        <f>Table!R6</f>
        <v>Nippon India Small Cap Fund - Growth Plan - Growth Option</v>
      </c>
      <c r="D290" t="str">
        <f>Table!S6</f>
        <v>INF204K01HY3</v>
      </c>
      <c r="E290">
        <f>Table!T6</f>
        <v>1</v>
      </c>
      <c r="F290" s="5">
        <f t="shared" si="25"/>
        <v>0</v>
      </c>
      <c r="G290" s="4">
        <f>F290/$F$322*100</f>
        <v>0</v>
      </c>
      <c r="H290" s="5">
        <f t="shared" si="26"/>
        <v>10</v>
      </c>
      <c r="I290" s="4">
        <f t="shared" si="27"/>
        <v>0</v>
      </c>
      <c r="J290" s="4">
        <f t="shared" si="28"/>
        <v>0</v>
      </c>
      <c r="K290" s="38">
        <f t="shared" si="29"/>
        <v>0</v>
      </c>
    </row>
    <row r="291" spans="1:11">
      <c r="A291" t="str">
        <f>Table!P7</f>
        <v>high_beta_equities</v>
      </c>
      <c r="B291" t="str">
        <f>Table!Q7</f>
        <v>Small Cap Fund</v>
      </c>
      <c r="C291" t="str">
        <f>Table!R7</f>
        <v>Small Cap Fund_2</v>
      </c>
      <c r="D291">
        <f>Table!S7</f>
        <v>0</v>
      </c>
      <c r="E291">
        <f>Table!T7</f>
        <v>2</v>
      </c>
      <c r="F291" s="5">
        <f t="shared" si="25"/>
        <v>0</v>
      </c>
      <c r="G291" s="4">
        <f>F291/$F$322*100</f>
        <v>0</v>
      </c>
      <c r="H291" s="5">
        <f t="shared" si="26"/>
        <v>10</v>
      </c>
      <c r="I291" s="4">
        <f t="shared" si="27"/>
        <v>0</v>
      </c>
      <c r="J291" s="4">
        <f t="shared" si="28"/>
        <v>0</v>
      </c>
      <c r="K291" s="38">
        <f t="shared" si="29"/>
        <v>0</v>
      </c>
    </row>
    <row r="292" spans="1:11">
      <c r="A292" t="str">
        <f>Table!P8</f>
        <v>value_equities</v>
      </c>
      <c r="B292" t="str">
        <f>Table!Q8</f>
        <v>Contra Fund</v>
      </c>
      <c r="C292" t="str">
        <f>Table!R8</f>
        <v>SBI Contra Fund - Direct Plan - Growth</v>
      </c>
      <c r="D292" t="str">
        <f>Table!S8</f>
        <v>INF200K01RA0</v>
      </c>
      <c r="E292">
        <f>Table!T8</f>
        <v>1</v>
      </c>
      <c r="F292" s="5">
        <f t="shared" si="25"/>
        <v>0</v>
      </c>
      <c r="G292" s="4">
        <f>F292/$F$322*100</f>
        <v>0</v>
      </c>
      <c r="H292" s="5">
        <f t="shared" si="26"/>
        <v>10</v>
      </c>
      <c r="I292" s="4">
        <f t="shared" si="27"/>
        <v>0</v>
      </c>
      <c r="J292" s="4">
        <f t="shared" si="28"/>
        <v>0</v>
      </c>
      <c r="K292" s="38">
        <f t="shared" si="29"/>
        <v>0</v>
      </c>
    </row>
    <row r="293" spans="1:11">
      <c r="A293" t="str">
        <f>Table!P9</f>
        <v>value_equities</v>
      </c>
      <c r="B293" t="str">
        <f>Table!Q9</f>
        <v>Contra Fund</v>
      </c>
      <c r="C293" t="str">
        <f>Table!R9</f>
        <v>Contra Fund_2</v>
      </c>
      <c r="D293">
        <f>Table!S9</f>
        <v>0</v>
      </c>
      <c r="E293">
        <f>Table!T9</f>
        <v>2</v>
      </c>
      <c r="F293" s="5">
        <f t="shared" si="25"/>
        <v>0</v>
      </c>
      <c r="G293" s="4">
        <f>F293/$F$322*100</f>
        <v>0</v>
      </c>
      <c r="H293" s="5">
        <f t="shared" si="26"/>
        <v>10</v>
      </c>
      <c r="I293" s="4">
        <f t="shared" si="27"/>
        <v>0</v>
      </c>
      <c r="J293" s="4">
        <f t="shared" si="28"/>
        <v>0</v>
      </c>
      <c r="K293" s="38">
        <f t="shared" si="29"/>
        <v>0</v>
      </c>
    </row>
    <row r="294" spans="1:11">
      <c r="A294" t="str">
        <f>Table!P10</f>
        <v>dividend_equities</v>
      </c>
      <c r="B294" t="str">
        <f>Table!Q10</f>
        <v>Dividend Yield Fund</v>
      </c>
      <c r="C294" t="str">
        <f>Table!R10</f>
        <v>ICICI Prudential Dividend Yield Equity Fund - Growth Option</v>
      </c>
      <c r="D294" t="str">
        <f>Table!S10</f>
        <v>INF109KA1TX4</v>
      </c>
      <c r="E294">
        <f>Table!T10</f>
        <v>1</v>
      </c>
      <c r="F294" s="5">
        <f t="shared" si="25"/>
        <v>0</v>
      </c>
      <c r="G294" s="4">
        <f>F294/$F$322*100</f>
        <v>0</v>
      </c>
      <c r="H294" s="5">
        <f t="shared" si="26"/>
        <v>10</v>
      </c>
      <c r="I294" s="4">
        <f t="shared" si="27"/>
        <v>0</v>
      </c>
      <c r="J294" s="4">
        <f t="shared" si="28"/>
        <v>0</v>
      </c>
      <c r="K294" s="38">
        <f t="shared" si="29"/>
        <v>0</v>
      </c>
    </row>
    <row r="295" spans="1:11">
      <c r="A295" t="str">
        <f>Table!P11</f>
        <v>dividend_equities</v>
      </c>
      <c r="B295" t="str">
        <f>Table!Q11</f>
        <v>Dividend Yield Fund</v>
      </c>
      <c r="C295" t="str">
        <f>Table!R11</f>
        <v>Dividend Yield Fund_2</v>
      </c>
      <c r="D295">
        <f>Table!S11</f>
        <v>0</v>
      </c>
      <c r="E295">
        <f>Table!T11</f>
        <v>2</v>
      </c>
      <c r="F295" s="5">
        <f t="shared" si="25"/>
        <v>0</v>
      </c>
      <c r="G295" s="4">
        <f>F295/$F$322*100</f>
        <v>0</v>
      </c>
      <c r="H295" s="5">
        <f t="shared" si="26"/>
        <v>10</v>
      </c>
      <c r="I295" s="4">
        <f t="shared" si="27"/>
        <v>0</v>
      </c>
      <c r="J295" s="4">
        <f t="shared" si="28"/>
        <v>0</v>
      </c>
      <c r="K295" s="38">
        <f t="shared" si="29"/>
        <v>0</v>
      </c>
    </row>
    <row r="296" spans="1:11">
      <c r="A296" t="str">
        <f>Table!P12</f>
        <v>tax_efficient_equities</v>
      </c>
      <c r="B296" t="str">
        <f>Table!Q12</f>
        <v>ELSS Tax Saver Fund</v>
      </c>
      <c r="C296" t="str">
        <f>Table!R12</f>
        <v>Motilal Oswal ELSS Tax Saver Fund - Regular Plan - Growth Option</v>
      </c>
      <c r="D296" t="str">
        <f>Table!S12</f>
        <v>INF247L01544</v>
      </c>
      <c r="E296">
        <f>Table!T12</f>
        <v>1</v>
      </c>
      <c r="F296" s="5">
        <f t="shared" si="25"/>
        <v>50000</v>
      </c>
      <c r="G296" s="4">
        <f>F296/$F$322*100</f>
        <v>0.49999875000312499</v>
      </c>
      <c r="H296" s="5">
        <f t="shared" si="26"/>
        <v>10</v>
      </c>
      <c r="I296" s="4">
        <f t="shared" si="27"/>
        <v>0.49999875000312499</v>
      </c>
      <c r="J296" s="4">
        <f t="shared" si="28"/>
        <v>0.49999875000312499</v>
      </c>
      <c r="K296" s="38">
        <f t="shared" si="29"/>
        <v>50000</v>
      </c>
    </row>
    <row r="297" spans="1:11">
      <c r="A297" t="str">
        <f>Table!P13</f>
        <v>tax_efficient_equities</v>
      </c>
      <c r="B297" t="str">
        <f>Table!Q13</f>
        <v>ELSS Tax Saver Fund</v>
      </c>
      <c r="C297" t="str">
        <f>Table!R13</f>
        <v>ELSS Tax Saver Fund_2</v>
      </c>
      <c r="D297">
        <f>Table!S13</f>
        <v>0</v>
      </c>
      <c r="E297">
        <f>Table!T13</f>
        <v>2</v>
      </c>
      <c r="F297" s="5">
        <f t="shared" si="25"/>
        <v>0</v>
      </c>
      <c r="G297" s="4">
        <f>F297/$F$322*100</f>
        <v>0</v>
      </c>
      <c r="H297" s="5">
        <f t="shared" si="26"/>
        <v>10</v>
      </c>
      <c r="I297" s="4">
        <f t="shared" si="27"/>
        <v>0</v>
      </c>
      <c r="J297" s="4">
        <f t="shared" si="28"/>
        <v>0</v>
      </c>
      <c r="K297" s="38">
        <f t="shared" si="29"/>
        <v>0</v>
      </c>
    </row>
    <row r="298" spans="1:11">
      <c r="A298" t="str">
        <f>Table!P14</f>
        <v>sector_equities</v>
      </c>
      <c r="B298" t="str">
        <f>Table!Q14</f>
        <v>Sectoral Fund</v>
      </c>
      <c r="C298" t="str">
        <f>Table!R14</f>
        <v>Tata Digital India Fund - Regular Plan - Growth</v>
      </c>
      <c r="D298" t="str">
        <f>Table!S14</f>
        <v>INF277K01Z44</v>
      </c>
      <c r="E298">
        <f>Table!T14</f>
        <v>1</v>
      </c>
      <c r="F298" s="5">
        <f t="shared" si="25"/>
        <v>0</v>
      </c>
      <c r="G298" s="4">
        <f>F298/$F$322*100</f>
        <v>0</v>
      </c>
      <c r="H298" s="5">
        <f t="shared" si="26"/>
        <v>10</v>
      </c>
      <c r="I298" s="4">
        <f t="shared" si="27"/>
        <v>0</v>
      </c>
      <c r="J298" s="4">
        <f t="shared" si="28"/>
        <v>0</v>
      </c>
      <c r="K298" s="38">
        <f t="shared" si="29"/>
        <v>0</v>
      </c>
    </row>
    <row r="299" spans="1:11">
      <c r="A299" t="str">
        <f>Table!P15</f>
        <v>sector_equities</v>
      </c>
      <c r="B299" t="str">
        <f>Table!Q15</f>
        <v>Sectoral Fund</v>
      </c>
      <c r="C299" t="str">
        <f>Table!R15</f>
        <v>Sectoral Fund_2</v>
      </c>
      <c r="D299">
        <f>Table!S15</f>
        <v>0</v>
      </c>
      <c r="E299">
        <f>Table!T15</f>
        <v>2</v>
      </c>
      <c r="F299" s="5">
        <f t="shared" si="25"/>
        <v>0</v>
      </c>
      <c r="G299" s="4">
        <f>F299/$F$322*100</f>
        <v>0</v>
      </c>
      <c r="H299" s="5">
        <f t="shared" si="26"/>
        <v>10</v>
      </c>
      <c r="I299" s="4">
        <f t="shared" si="27"/>
        <v>0</v>
      </c>
      <c r="J299" s="4">
        <f t="shared" si="28"/>
        <v>0</v>
      </c>
      <c r="K299" s="38">
        <f t="shared" si="29"/>
        <v>0</v>
      </c>
    </row>
    <row r="300" spans="1:11">
      <c r="A300" t="str">
        <f>Table!P16</f>
        <v>us_equities</v>
      </c>
      <c r="B300" t="str">
        <f>Table!Q16</f>
        <v>US Linked (FoF)</v>
      </c>
      <c r="C300" t="str">
        <f>Table!R16</f>
        <v>Kotak US Specific Equity Passive FOF - Direct Plan - Growth</v>
      </c>
      <c r="D300" t="str">
        <f>Table!S16</f>
        <v>INF174KA1FQ7</v>
      </c>
      <c r="E300">
        <f>Table!T16</f>
        <v>1</v>
      </c>
      <c r="F300" s="5">
        <f t="shared" si="25"/>
        <v>942700</v>
      </c>
      <c r="G300" s="4">
        <f>F300/$F$322*100</f>
        <v>9.4269764325589183</v>
      </c>
      <c r="H300" s="5">
        <f t="shared" si="26"/>
        <v>10</v>
      </c>
      <c r="I300" s="4">
        <f t="shared" si="27"/>
        <v>9.4269764325589183</v>
      </c>
      <c r="J300" s="4">
        <f t="shared" si="28"/>
        <v>9.4269764325589183</v>
      </c>
      <c r="K300" s="38">
        <f t="shared" si="29"/>
        <v>942700</v>
      </c>
    </row>
    <row r="301" spans="1:11">
      <c r="A301" t="str">
        <f>Table!P17</f>
        <v>us_equities</v>
      </c>
      <c r="B301" t="str">
        <f>Table!Q17</f>
        <v>US Linked (FoF)</v>
      </c>
      <c r="C301" t="str">
        <f>Table!R17</f>
        <v>US Linked (FoF)_2</v>
      </c>
      <c r="D301">
        <f>Table!S17</f>
        <v>0</v>
      </c>
      <c r="E301">
        <f>Table!T17</f>
        <v>2</v>
      </c>
      <c r="F301" s="5">
        <f t="shared" si="25"/>
        <v>0</v>
      </c>
      <c r="G301" s="4">
        <f>F301/$F$322*100</f>
        <v>0</v>
      </c>
      <c r="H301" s="5">
        <f t="shared" si="26"/>
        <v>10</v>
      </c>
      <c r="I301" s="4">
        <f t="shared" si="27"/>
        <v>0</v>
      </c>
      <c r="J301" s="4">
        <f t="shared" si="28"/>
        <v>0</v>
      </c>
      <c r="K301" s="38">
        <f t="shared" si="29"/>
        <v>0</v>
      </c>
    </row>
    <row r="302" spans="1:11">
      <c r="A302" t="str">
        <f>Table!P18</f>
        <v>multi_asset</v>
      </c>
      <c r="B302" t="str">
        <f>Table!Q18</f>
        <v>Multi Cap Fund</v>
      </c>
      <c r="C302" t="str">
        <f>Table!R18</f>
        <v>ICICI Prudential Multicap Fund - Growth</v>
      </c>
      <c r="D302" t="str">
        <f>Table!S18</f>
        <v>INF109K01613</v>
      </c>
      <c r="E302">
        <f>Table!T18</f>
        <v>1</v>
      </c>
      <c r="F302" s="5">
        <f t="shared" si="25"/>
        <v>5665900</v>
      </c>
      <c r="G302" s="4">
        <f>F302/$F$322*100</f>
        <v>56.658858352854111</v>
      </c>
      <c r="H302" s="5">
        <f t="shared" si="26"/>
        <v>20</v>
      </c>
      <c r="I302" s="4">
        <f t="shared" si="27"/>
        <v>20</v>
      </c>
      <c r="J302" s="4">
        <f t="shared" si="28"/>
        <v>20</v>
      </c>
      <c r="K302" s="38">
        <f t="shared" si="29"/>
        <v>2000005</v>
      </c>
    </row>
    <row r="303" spans="1:11">
      <c r="A303" t="str">
        <f>Table!P19</f>
        <v>multi_asset</v>
      </c>
      <c r="B303" t="str">
        <f>Table!Q19</f>
        <v>Multi Cap Fund</v>
      </c>
      <c r="C303" t="str">
        <f>Table!R19</f>
        <v>Multi Cap Fund_2</v>
      </c>
      <c r="D303">
        <f>Table!S19</f>
        <v>0</v>
      </c>
      <c r="E303">
        <f>Table!T19</f>
        <v>2</v>
      </c>
      <c r="F303" s="5">
        <f t="shared" si="25"/>
        <v>0</v>
      </c>
      <c r="G303" s="4">
        <f>F303/$F$322*100</f>
        <v>0</v>
      </c>
      <c r="H303" s="5">
        <f t="shared" si="26"/>
        <v>20</v>
      </c>
      <c r="I303" s="4">
        <f t="shared" si="27"/>
        <v>36.658858352854111</v>
      </c>
      <c r="J303" s="4">
        <f t="shared" si="28"/>
        <v>20</v>
      </c>
      <c r="K303" s="38">
        <f t="shared" si="29"/>
        <v>2000005</v>
      </c>
    </row>
    <row r="304" spans="1:11">
      <c r="A304" t="str">
        <f>Table!P20</f>
        <v>multi_asset</v>
      </c>
      <c r="B304" t="str">
        <f>Table!Q20</f>
        <v>Multi Cap Fund</v>
      </c>
      <c r="C304" t="str">
        <f>Table!R20</f>
        <v>Multi Cap Fund_3</v>
      </c>
      <c r="D304">
        <f>Table!S20</f>
        <v>0</v>
      </c>
      <c r="E304">
        <f>Table!T20</f>
        <v>3</v>
      </c>
      <c r="F304" s="5">
        <f t="shared" si="25"/>
        <v>0</v>
      </c>
      <c r="G304" s="4">
        <f>F304/$F$322*100</f>
        <v>0</v>
      </c>
      <c r="H304" s="5">
        <f t="shared" si="26"/>
        <v>20</v>
      </c>
      <c r="I304" s="4">
        <f t="shared" si="27"/>
        <v>0</v>
      </c>
      <c r="J304" s="4">
        <f t="shared" si="28"/>
        <v>16.658858352854111</v>
      </c>
      <c r="K304" s="38">
        <f t="shared" si="29"/>
        <v>1665889.9999999993</v>
      </c>
    </row>
    <row r="305" spans="1:11">
      <c r="A305" t="str">
        <f>Table!P21</f>
        <v>short_debt</v>
      </c>
      <c r="B305" t="str">
        <f>Table!Q21</f>
        <v>Liquid Fund</v>
      </c>
      <c r="C305" t="str">
        <f>Table!R21</f>
        <v>Canara Robeco Liquid Fund - Regular Plan - Growth Option</v>
      </c>
      <c r="D305" t="str">
        <f>Table!S21</f>
        <v>INF179K01VF7</v>
      </c>
      <c r="E305">
        <f>Table!T21</f>
        <v>1</v>
      </c>
      <c r="F305" s="5">
        <f t="shared" si="25"/>
        <v>480000</v>
      </c>
      <c r="G305" s="4">
        <f>F305/$F$322*100</f>
        <v>4.7999880000299999</v>
      </c>
      <c r="H305" s="5">
        <f t="shared" si="26"/>
        <v>10</v>
      </c>
      <c r="I305" s="4">
        <f t="shared" si="27"/>
        <v>4.7999880000299999</v>
      </c>
      <c r="J305" s="4">
        <f t="shared" si="28"/>
        <v>4.7999880000299999</v>
      </c>
      <c r="K305" s="38">
        <f t="shared" si="29"/>
        <v>480000</v>
      </c>
    </row>
    <row r="306" spans="1:11">
      <c r="A306" t="str">
        <f>Table!P22</f>
        <v>short_debt</v>
      </c>
      <c r="B306" t="str">
        <f>Table!Q22</f>
        <v>Liquid Fund</v>
      </c>
      <c r="C306" t="str">
        <f>Table!R22</f>
        <v>Liquid Fund_2</v>
      </c>
      <c r="D306">
        <f>Table!S22</f>
        <v>0</v>
      </c>
      <c r="E306">
        <f>Table!T22</f>
        <v>2</v>
      </c>
      <c r="F306" s="5">
        <f t="shared" si="25"/>
        <v>0</v>
      </c>
      <c r="G306" s="4">
        <f>F306/$F$322*100</f>
        <v>0</v>
      </c>
      <c r="H306" s="5">
        <f t="shared" si="26"/>
        <v>10</v>
      </c>
      <c r="I306" s="4">
        <f t="shared" si="27"/>
        <v>0</v>
      </c>
      <c r="J306" s="4">
        <f t="shared" si="28"/>
        <v>0</v>
      </c>
      <c r="K306" s="38">
        <f t="shared" si="29"/>
        <v>0</v>
      </c>
    </row>
    <row r="307" spans="1:11">
      <c r="A307" t="str">
        <f>Table!P23</f>
        <v>arbitrage</v>
      </c>
      <c r="B307" t="str">
        <f>Table!Q23</f>
        <v>Arbitrage Fund</v>
      </c>
      <c r="C307" t="str">
        <f>Table!R23</f>
        <v>Nippon India Arbitrage Fund - Direct Plan - Growth</v>
      </c>
      <c r="D307" t="str">
        <f>Table!S23</f>
        <v>INF204K01XZ7</v>
      </c>
      <c r="E307">
        <f>Table!T23</f>
        <v>1</v>
      </c>
      <c r="F307" s="5">
        <f t="shared" si="25"/>
        <v>0</v>
      </c>
      <c r="G307" s="4">
        <f>F307/$F$322*100</f>
        <v>0</v>
      </c>
      <c r="H307" s="5">
        <f t="shared" si="26"/>
        <v>10</v>
      </c>
      <c r="I307" s="4">
        <f t="shared" si="27"/>
        <v>0</v>
      </c>
      <c r="J307" s="4">
        <f t="shared" si="28"/>
        <v>0</v>
      </c>
      <c r="K307" s="38">
        <f t="shared" si="29"/>
        <v>0</v>
      </c>
    </row>
    <row r="308" spans="1:11">
      <c r="A308" t="str">
        <f>Table!P24</f>
        <v>arbitrage</v>
      </c>
      <c r="B308" t="str">
        <f>Table!Q24</f>
        <v>Arbitrage Fund</v>
      </c>
      <c r="C308" t="str">
        <f>Table!R24</f>
        <v>Arbitrage Fund_2</v>
      </c>
      <c r="D308">
        <f>Table!S24</f>
        <v>0</v>
      </c>
      <c r="E308">
        <f>Table!T24</f>
        <v>2</v>
      </c>
      <c r="F308" s="5">
        <f t="shared" si="25"/>
        <v>0</v>
      </c>
      <c r="G308" s="4">
        <f>F308/$F$322*100</f>
        <v>0</v>
      </c>
      <c r="H308" s="5">
        <f t="shared" si="26"/>
        <v>10</v>
      </c>
      <c r="I308" s="4">
        <f t="shared" si="27"/>
        <v>0</v>
      </c>
      <c r="J308" s="4">
        <f t="shared" si="28"/>
        <v>0</v>
      </c>
      <c r="K308" s="38">
        <f t="shared" si="29"/>
        <v>0</v>
      </c>
    </row>
    <row r="309" spans="1:11">
      <c r="A309" t="str">
        <f>Table!P25</f>
        <v>arbitrage_plus_income</v>
      </c>
      <c r="B309" t="str">
        <f>Table!Q25</f>
        <v>Arbitrage Fund</v>
      </c>
      <c r="C309" t="str">
        <f>Table!R25</f>
        <v>HDFC Arbitrage Fund - Wholesale Growth</v>
      </c>
      <c r="D309" t="str">
        <f>Table!S25</f>
        <v>INF179KB1HP6</v>
      </c>
      <c r="E309">
        <f>Table!T25</f>
        <v>1</v>
      </c>
      <c r="F309" s="5">
        <f t="shared" si="25"/>
        <v>1109525</v>
      </c>
      <c r="G309" s="4">
        <f>F309/$F$322*100</f>
        <v>11.095222261944345</v>
      </c>
      <c r="H309" s="5">
        <f t="shared" si="26"/>
        <v>10</v>
      </c>
      <c r="I309" s="4">
        <f t="shared" si="27"/>
        <v>10</v>
      </c>
      <c r="J309" s="4">
        <f t="shared" si="28"/>
        <v>10</v>
      </c>
      <c r="K309" s="38">
        <f t="shared" si="29"/>
        <v>1000002.5</v>
      </c>
    </row>
    <row r="310" spans="1:11">
      <c r="A310" t="str">
        <f>Table!P26</f>
        <v>arbitrage_plus_income</v>
      </c>
      <c r="B310" t="str">
        <f>Table!Q26</f>
        <v>Arbitrage Fund</v>
      </c>
      <c r="C310" t="str">
        <f>Table!R26</f>
        <v>Arbitrage Fund_2</v>
      </c>
      <c r="D310">
        <f>Table!S26</f>
        <v>0</v>
      </c>
      <c r="E310">
        <f>Table!T26</f>
        <v>2</v>
      </c>
      <c r="F310" s="5">
        <f t="shared" si="25"/>
        <v>0</v>
      </c>
      <c r="G310" s="4">
        <f>F310/$F$322*100</f>
        <v>0</v>
      </c>
      <c r="H310" s="5">
        <f t="shared" si="26"/>
        <v>10</v>
      </c>
      <c r="I310" s="4">
        <f t="shared" si="27"/>
        <v>1.095222261944345</v>
      </c>
      <c r="J310" s="4">
        <f t="shared" si="28"/>
        <v>1.095222261944345</v>
      </c>
      <c r="K310" s="38">
        <f t="shared" si="29"/>
        <v>109522.49999999999</v>
      </c>
    </row>
    <row r="311" spans="1:11">
      <c r="A311" t="str">
        <f>Table!P27</f>
        <v>arbitrage_plus_income</v>
      </c>
      <c r="B311" t="str">
        <f>Table!Q27</f>
        <v>Arbitrage Fund</v>
      </c>
      <c r="C311" t="str">
        <f>Table!R27</f>
        <v>Arbitrage Fund_3</v>
      </c>
      <c r="D311">
        <f>Table!S27</f>
        <v>0</v>
      </c>
      <c r="E311">
        <f>Table!T27</f>
        <v>3</v>
      </c>
      <c r="F311" s="5">
        <f t="shared" ref="F311" si="30">IF(E311=1,SUMIF($A$243:$A$256,A311,$F$243:$F$256),0)</f>
        <v>0</v>
      </c>
      <c r="G311" s="4">
        <f>F311/$F$322*100</f>
        <v>0</v>
      </c>
      <c r="H311" s="5">
        <f t="shared" ref="H311" si="31">IF(A311=$A$302,$B$280,$B$281)</f>
        <v>10</v>
      </c>
      <c r="I311" s="4">
        <f t="shared" ref="I311" si="32">IF(E311=1,MIN(G311,H311),IF(E311=2,MAX(0,G310-H310),0))</f>
        <v>0</v>
      </c>
      <c r="J311" s="4">
        <f t="shared" ref="J311" si="33">IF(E311=2,MIN(I311,H311),IF(E311=3,MAX(0,I310-H310),I311))</f>
        <v>0</v>
      </c>
      <c r="K311" s="38">
        <f t="shared" ref="K311" si="34">J311*$F$257/100</f>
        <v>0</v>
      </c>
    </row>
    <row r="312" spans="1:11">
      <c r="A312" t="str">
        <f>Table!P28</f>
        <v>gold_commodities</v>
      </c>
      <c r="B312" t="str">
        <f>Table!Q28</f>
        <v>Gold ETF</v>
      </c>
      <c r="C312" t="str">
        <f>Table!R28</f>
        <v>ICICI Prudential Gold ETF</v>
      </c>
      <c r="D312" t="str">
        <f>Table!S28</f>
        <v>INF109KC1NT3</v>
      </c>
      <c r="E312">
        <f>Table!T28</f>
        <v>1</v>
      </c>
      <c r="F312" s="5">
        <f t="shared" si="25"/>
        <v>311700</v>
      </c>
      <c r="G312" s="4">
        <f>F312/$F$322*100</f>
        <v>3.1169922075194814</v>
      </c>
      <c r="H312" s="5">
        <f>IF(A312=$A$302,$B$280,$B$281)</f>
        <v>10</v>
      </c>
      <c r="I312" s="4">
        <f>IF(E312=1,MIN(G312,H312),IF(E312=2,MAX(0,G310-H310),0))</f>
        <v>3.1169922075194814</v>
      </c>
      <c r="J312" s="4">
        <f>IF(E312=2,MIN(I312,H312),IF(E312=3,MAX(0,I310-H310),I312))</f>
        <v>3.1169922075194814</v>
      </c>
      <c r="K312" s="38">
        <f t="shared" si="29"/>
        <v>311700</v>
      </c>
    </row>
    <row r="313" spans="1:11">
      <c r="A313" t="str">
        <f>Table!P29</f>
        <v>gold_commodities</v>
      </c>
      <c r="B313" t="str">
        <f>Table!Q29</f>
        <v>Gold ETF</v>
      </c>
      <c r="C313" t="str">
        <f>Table!R29</f>
        <v>Gold ETF_2</v>
      </c>
      <c r="D313">
        <f>Table!S29</f>
        <v>0</v>
      </c>
      <c r="E313">
        <f>Table!T29</f>
        <v>2</v>
      </c>
      <c r="F313" s="5">
        <f t="shared" si="25"/>
        <v>0</v>
      </c>
      <c r="G313" s="4">
        <f>F313/$F$322*100</f>
        <v>0</v>
      </c>
      <c r="H313" s="5">
        <f>IF(A313=$A$302,$B$280,$B$281)</f>
        <v>10</v>
      </c>
      <c r="I313" s="4">
        <f>IF(E313=1,MIN(G313,H313),IF(E313=2,MAX(0,G312-H312),0))</f>
        <v>0</v>
      </c>
      <c r="J313" s="4">
        <f>IF(E313=2,MIN(I313,H313),IF(E313=3,MAX(0,I312-H312),I313))</f>
        <v>0</v>
      </c>
      <c r="K313" s="38">
        <f t="shared" si="29"/>
        <v>0</v>
      </c>
    </row>
    <row r="314" spans="1:11">
      <c r="A314" t="str">
        <f>Table!P30</f>
        <v>silver_commodities</v>
      </c>
      <c r="B314" t="str">
        <f>Table!Q30</f>
        <v>Silver Linked (Index/ETF)</v>
      </c>
      <c r="C314" t="str">
        <f>Table!R30</f>
        <v>ICICI Prudential Silver ETF</v>
      </c>
      <c r="D314" t="str">
        <f>Table!S30</f>
        <v>INF109KC1Y56</v>
      </c>
      <c r="E314">
        <f>Table!T30</f>
        <v>1</v>
      </c>
      <c r="F314" s="5">
        <f t="shared" si="25"/>
        <v>0</v>
      </c>
      <c r="G314" s="4">
        <f>F314/$F$322*100</f>
        <v>0</v>
      </c>
      <c r="H314" s="5">
        <f>IF(A314=$A$302,$B$280,$B$281)</f>
        <v>10</v>
      </c>
      <c r="I314" s="4">
        <f>IF(E314=1,MIN(G314,H314),IF(E314=2,MAX(0,G313-H313),0))</f>
        <v>0</v>
      </c>
      <c r="J314" s="4">
        <f>IF(E314=2,MIN(I314,H314),IF(E314=3,MAX(0,I313-H313),I314))</f>
        <v>0</v>
      </c>
      <c r="K314" s="38">
        <f t="shared" si="29"/>
        <v>0</v>
      </c>
    </row>
    <row r="315" spans="1:11">
      <c r="A315" t="str">
        <f>Table!P31</f>
        <v>silver_commodities</v>
      </c>
      <c r="B315" t="str">
        <f>Table!Q31</f>
        <v>Silver Linked (Index/ETF)</v>
      </c>
      <c r="C315" t="str">
        <f>Table!R31</f>
        <v>Silver Linked (Index/ETF)_2</v>
      </c>
      <c r="D315">
        <f>Table!S31</f>
        <v>0</v>
      </c>
      <c r="E315">
        <f>Table!T31</f>
        <v>2</v>
      </c>
      <c r="F315" s="5">
        <f t="shared" si="25"/>
        <v>0</v>
      </c>
      <c r="G315" s="4">
        <f>F315/$F$322*100</f>
        <v>0</v>
      </c>
      <c r="H315" s="5">
        <f>IF(A315=$A$302,$B$280,$B$281)</f>
        <v>10</v>
      </c>
      <c r="I315" s="4">
        <f>IF(E315=1,MIN(G315,H315),IF(E315=2,MAX(0,G314-H314),0))</f>
        <v>0</v>
      </c>
      <c r="J315" s="4">
        <f>IF(E315=2,MIN(I315,H315),IF(E315=3,MAX(0,I314-H314),I315))</f>
        <v>0</v>
      </c>
      <c r="K315" s="38">
        <f t="shared" si="29"/>
        <v>0</v>
      </c>
    </row>
    <row r="316" spans="1:11">
      <c r="A316" t="str">
        <f>Table!P32</f>
        <v>china_equities</v>
      </c>
      <c r="B316" t="str">
        <f>Table!Q32</f>
        <v>China Linked (FoF)</v>
      </c>
      <c r="C316" t="str">
        <f>Table!R32</f>
        <v>Edelweiss Greater China Equity Off-shore Fund - Direct Plan - Growth</v>
      </c>
      <c r="D316" t="str">
        <f>Table!S32</f>
        <v>INF843K01138</v>
      </c>
      <c r="E316">
        <f>Table!T32</f>
        <v>1</v>
      </c>
      <c r="F316" s="5">
        <f t="shared" si="25"/>
        <v>0</v>
      </c>
      <c r="G316" s="4">
        <f>F316/$F$322*100</f>
        <v>0</v>
      </c>
      <c r="H316" s="5">
        <f>IF(A316=$A$302,$B$280,$B$281)</f>
        <v>10</v>
      </c>
      <c r="I316" s="4">
        <f>IF(E316=1,MIN(G316,H316),IF(E316=2,MAX(0,G315-H315),0))</f>
        <v>0</v>
      </c>
      <c r="J316" s="4">
        <f>IF(E316=2,MIN(I316,H316),IF(E316=3,MAX(0,I315-H315),I316))</f>
        <v>0</v>
      </c>
      <c r="K316" s="38">
        <f t="shared" si="29"/>
        <v>0</v>
      </c>
    </row>
    <row r="317" spans="1:11">
      <c r="A317" t="str">
        <f>Table!P33</f>
        <v>china_equities</v>
      </c>
      <c r="B317" t="str">
        <f>Table!Q33</f>
        <v>China Linked (FoF)</v>
      </c>
      <c r="C317" t="str">
        <f>Table!R33</f>
        <v>China Linked (FoF)_2</v>
      </c>
      <c r="D317">
        <f>Table!S33</f>
        <v>0</v>
      </c>
      <c r="E317">
        <f>Table!T33</f>
        <v>2</v>
      </c>
      <c r="F317" s="5">
        <f t="shared" si="25"/>
        <v>0</v>
      </c>
      <c r="G317" s="4">
        <f>F317/$F$322*100</f>
        <v>0</v>
      </c>
      <c r="H317" s="5">
        <f>IF(A317=$A$302,$B$280,$B$281)</f>
        <v>10</v>
      </c>
      <c r="I317" s="4">
        <f>IF(E317=1,MIN(G317,H317),IF(E317=2,MAX(0,G316-H316),0))</f>
        <v>0</v>
      </c>
      <c r="J317" s="4">
        <f>IF(E317=2,MIN(I317,H317),IF(E317=3,MAX(0,I316-H316),I317))</f>
        <v>0</v>
      </c>
      <c r="K317" s="38">
        <f t="shared" si="29"/>
        <v>0</v>
      </c>
    </row>
    <row r="318" spans="1:11">
      <c r="A318" t="str">
        <f>Table!P34</f>
        <v>others_fofs</v>
      </c>
      <c r="B318" t="str">
        <f>Table!Q34</f>
        <v>Others (FoF)</v>
      </c>
      <c r="C318" t="str">
        <f>Table!R34</f>
        <v>Motilal Oswal Nasdaq 100 Fund of Fund - Direct Plan Growth</v>
      </c>
      <c r="D318" t="str">
        <f>Table!S34</f>
        <v>INF247L01718</v>
      </c>
      <c r="E318">
        <f>Table!T34</f>
        <v>1</v>
      </c>
      <c r="F318" s="5">
        <f t="shared" si="25"/>
        <v>0</v>
      </c>
      <c r="G318" s="4">
        <f>F318/$F$322*100</f>
        <v>0</v>
      </c>
      <c r="H318" s="5">
        <f>IF(A318=$A$302,$B$280,$B$281)</f>
        <v>10</v>
      </c>
      <c r="I318" s="4">
        <f>IF(E318=1,MIN(G318,H318),IF(E318=2,MAX(0,G317-H317),0))</f>
        <v>0</v>
      </c>
      <c r="J318" s="4">
        <f>IF(E318=2,MIN(I318,H318),IF(E318=3,MAX(0,I317-H317),I318))</f>
        <v>0</v>
      </c>
      <c r="K318" s="38">
        <f t="shared" si="29"/>
        <v>0</v>
      </c>
    </row>
    <row r="319" spans="1:11">
      <c r="A319" t="str">
        <f>Table!P35</f>
        <v>others_fofs</v>
      </c>
      <c r="B319" t="str">
        <f>Table!Q35</f>
        <v>Others (FoF)</v>
      </c>
      <c r="C319" t="str">
        <f>Table!R35</f>
        <v>Others (FoF)_2</v>
      </c>
      <c r="D319">
        <f>Table!S35</f>
        <v>0</v>
      </c>
      <c r="E319">
        <f>Table!T35</f>
        <v>2</v>
      </c>
      <c r="F319" s="5">
        <f t="shared" si="25"/>
        <v>0</v>
      </c>
      <c r="G319" s="4">
        <f>F319/$F$322*100</f>
        <v>0</v>
      </c>
      <c r="H319" s="5">
        <f>IF(A319=$A$302,$B$280,$B$281)</f>
        <v>10</v>
      </c>
      <c r="I319" s="4">
        <f>IF(E319=1,MIN(G319,H319),IF(E319=2,MAX(0,G318-H318),0))</f>
        <v>0</v>
      </c>
      <c r="J319" s="4">
        <f>IF(E319=2,MIN(I319,H319),IF(E319=3,MAX(0,I318-H318),I319))</f>
        <v>0</v>
      </c>
      <c r="K319" s="38">
        <f t="shared" si="29"/>
        <v>0</v>
      </c>
    </row>
    <row r="320" spans="1:11">
      <c r="A320" t="str">
        <f>Table!P36</f>
        <v>others</v>
      </c>
      <c r="B320" t="str">
        <f>Table!Q36</f>
        <v>Others (Index/ETF)</v>
      </c>
      <c r="C320" t="str">
        <f>Table!R36</f>
        <v>Motilal Oswal Nasdaq 100 ETF</v>
      </c>
      <c r="D320" t="str">
        <f>Table!S36</f>
        <v>INF247L01AP3</v>
      </c>
      <c r="E320">
        <f>Table!T36</f>
        <v>1</v>
      </c>
      <c r="F320" s="5">
        <f t="shared" si="25"/>
        <v>0</v>
      </c>
      <c r="G320" s="4">
        <f>F320/$F$322*100</f>
        <v>0</v>
      </c>
      <c r="H320" s="5">
        <f>IF(A320=$A$302,$B$280,$B$281)</f>
        <v>10</v>
      </c>
      <c r="I320" s="4">
        <f>IF(E320=1,MIN(G320,H320),IF(E320=2,MAX(0,G319-H319),0))</f>
        <v>0</v>
      </c>
      <c r="J320" s="4">
        <f>IF(E320=2,MIN(I320,H320),IF(E320=3,MAX(0,I319-H319),I320))</f>
        <v>0</v>
      </c>
      <c r="K320" s="38">
        <f t="shared" si="29"/>
        <v>0</v>
      </c>
    </row>
    <row r="321" spans="1:13">
      <c r="A321" t="str">
        <f>Table!P37</f>
        <v>others</v>
      </c>
      <c r="B321" t="str">
        <f>Table!Q37</f>
        <v>Others (Index/ETF)</v>
      </c>
      <c r="C321" t="str">
        <f>Table!R37</f>
        <v>Others (Index/ETF)_2</v>
      </c>
      <c r="D321">
        <f>Table!S37</f>
        <v>0</v>
      </c>
      <c r="E321">
        <f>Table!T37</f>
        <v>2</v>
      </c>
      <c r="F321" s="5">
        <f t="shared" ref="F321" si="35">IF(E321=1,SUMIF($A$243:$A$256,A321,$F$243:$F$256),0)</f>
        <v>0</v>
      </c>
      <c r="G321" s="4">
        <f>F321/$F$322*100</f>
        <v>0</v>
      </c>
      <c r="H321" s="5">
        <f>IF(A321=$A$302,$B$280,$B$281)</f>
        <v>10</v>
      </c>
      <c r="I321" s="4">
        <f>IF(E321=1,MIN(G321,H321),IF(E321=2,MAX(0,G320-H320),0))</f>
        <v>0</v>
      </c>
      <c r="J321" s="4">
        <f>IF(E321=2,MIN(I321,H321),IF(E321=3,MAX(0,I320-H320),I321))</f>
        <v>0</v>
      </c>
      <c r="K321" s="38">
        <f t="shared" si="29"/>
        <v>0</v>
      </c>
    </row>
    <row r="322" spans="1:13">
      <c r="F322" s="5">
        <f>SUM(F286:F321)</f>
        <v>10000025</v>
      </c>
      <c r="G322" s="4">
        <f>SUM(G286:G321)</f>
        <v>100</v>
      </c>
      <c r="H322" s="4"/>
      <c r="I322" s="4">
        <f t="shared" ref="I322:K322" si="36">SUM(I286:I321)</f>
        <v>100</v>
      </c>
      <c r="J322" s="4">
        <f t="shared" si="36"/>
        <v>100</v>
      </c>
      <c r="K322" s="38">
        <f t="shared" si="36"/>
        <v>10000025</v>
      </c>
      <c r="L322" t="s">
        <v>132</v>
      </c>
      <c r="M322" s="40">
        <f>J322-100</f>
        <v>0</v>
      </c>
    </row>
    <row r="325" spans="1:13">
      <c r="A325" s="2" t="s">
        <v>187</v>
      </c>
      <c r="B325" s="2"/>
      <c r="C325" s="2"/>
      <c r="D325" s="2"/>
      <c r="E325" s="2"/>
      <c r="F325" s="2"/>
      <c r="G325" s="2"/>
      <c r="H325" s="2"/>
      <c r="I325" s="2"/>
      <c r="J325" s="2"/>
      <c r="K325" s="2"/>
      <c r="L325" s="2"/>
      <c r="M3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P331"/>
  <sheetViews>
    <sheetView tabSelected="1" workbookViewId="0">
      <pane ySplit="1" topLeftCell="P282" activePane="bottomLeft" state="frozen"/>
      <selection pane="bottomLeft" activeCell="Z305" sqref="Z305:Z306"/>
    </sheetView>
  </sheetViews>
  <sheetFormatPr defaultRowHeight="15" outlineLevelRow="1"/>
  <cols>
    <col min="1" max="1" width="29.140625" bestFit="1" customWidth="1"/>
    <col min="2" max="2" width="25" customWidth="1"/>
    <col min="3" max="3" width="20" customWidth="1"/>
    <col min="4" max="4" width="29.140625" bestFit="1" customWidth="1"/>
    <col min="5" max="19" width="20" customWidth="1"/>
    <col min="20" max="20" width="18.85546875" customWidth="1"/>
    <col min="21" max="21" width="16" customWidth="1"/>
    <col min="22" max="22" width="15" customWidth="1"/>
    <col min="23" max="24" width="13.7109375" customWidth="1"/>
    <col min="26" max="26" width="21.28515625" customWidth="1"/>
    <col min="27" max="28" width="20.7109375" customWidth="1"/>
    <col min="29" max="29" width="20.5703125" customWidth="1"/>
    <col min="30" max="30" width="15.7109375" customWidth="1"/>
    <col min="31" max="31" width="13.28515625" customWidth="1"/>
    <col min="35" max="35" width="11.28515625" customWidth="1"/>
    <col min="36" max="36" width="12" customWidth="1"/>
    <col min="37" max="37" width="10.85546875" customWidth="1"/>
    <col min="39" max="39" width="16.28515625" bestFit="1" customWidth="1"/>
    <col min="42" max="42" width="11.7109375" customWidth="1"/>
  </cols>
  <sheetData>
    <row r="2" spans="1:19">
      <c r="A2" s="2" t="s">
        <v>0</v>
      </c>
      <c r="B2" s="2"/>
      <c r="C2" s="2"/>
      <c r="D2" s="2"/>
      <c r="E2" s="2"/>
      <c r="F2" s="2"/>
    </row>
    <row r="4" spans="1:19">
      <c r="A4" t="s">
        <v>1</v>
      </c>
      <c r="B4" s="30" t="s">
        <v>2</v>
      </c>
    </row>
    <row r="5" spans="1:19">
      <c r="A5" t="s">
        <v>3</v>
      </c>
      <c r="B5" s="46">
        <v>5.5</v>
      </c>
    </row>
    <row r="6" spans="1:19">
      <c r="A6" t="s">
        <v>4</v>
      </c>
      <c r="B6" s="30">
        <v>50</v>
      </c>
    </row>
    <row r="7" spans="1:19">
      <c r="A7" t="s">
        <v>5</v>
      </c>
      <c r="B7" s="30">
        <v>0</v>
      </c>
    </row>
    <row r="8" spans="1:19">
      <c r="A8" t="s">
        <v>6</v>
      </c>
      <c r="B8" s="30">
        <v>0</v>
      </c>
      <c r="G8" t="s">
        <v>7</v>
      </c>
    </row>
    <row r="9" spans="1:19">
      <c r="A9" t="s">
        <v>8</v>
      </c>
      <c r="B9" s="30" t="s">
        <v>9</v>
      </c>
      <c r="F9" t="s">
        <v>10</v>
      </c>
      <c r="G9">
        <f>G11+G17</f>
        <v>100000</v>
      </c>
      <c r="J9">
        <f>G9</f>
        <v>100000</v>
      </c>
    </row>
    <row r="10" spans="1:19">
      <c r="A10" t="s">
        <v>11</v>
      </c>
      <c r="B10" s="30" t="b">
        <v>0</v>
      </c>
      <c r="R10">
        <v>60000</v>
      </c>
      <c r="S10">
        <f>J9+SUM(N10:R10)</f>
        <v>160000</v>
      </c>
    </row>
    <row r="11" spans="1:19">
      <c r="A11" t="s">
        <v>12</v>
      </c>
      <c r="B11" s="30">
        <v>0</v>
      </c>
      <c r="F11" t="s">
        <v>13</v>
      </c>
      <c r="G11">
        <v>75000</v>
      </c>
      <c r="H11" s="6">
        <f>G11/$G$9</f>
        <v>0.75</v>
      </c>
      <c r="I11" t="str">
        <f>F11</f>
        <v>Equity</v>
      </c>
      <c r="J11" s="6">
        <v>0.65</v>
      </c>
      <c r="K11">
        <f>J11*$J$9</f>
        <v>65000</v>
      </c>
      <c r="M11">
        <f>K11-G11</f>
        <v>-10000</v>
      </c>
      <c r="R11">
        <f>S11-G11</f>
        <v>29000</v>
      </c>
      <c r="S11">
        <f>J11*$S$10</f>
        <v>104000</v>
      </c>
    </row>
    <row r="12" spans="1:19">
      <c r="A12" t="s">
        <v>14</v>
      </c>
      <c r="B12" s="47">
        <v>8000000</v>
      </c>
      <c r="F12" t="s">
        <v>15</v>
      </c>
      <c r="G12">
        <v>45000</v>
      </c>
      <c r="H12" s="6">
        <f t="shared" ref="H12:H18" si="0">G12/$G$9</f>
        <v>0.45</v>
      </c>
      <c r="I12" t="str">
        <f>F12</f>
        <v>Large</v>
      </c>
      <c r="J12" s="6">
        <v>0.25</v>
      </c>
      <c r="K12">
        <f t="shared" ref="K12:K18" si="1">J12*$J$9</f>
        <v>25000</v>
      </c>
      <c r="M12">
        <f>K12-G12</f>
        <v>-20000</v>
      </c>
      <c r="R12">
        <f t="shared" ref="R12:R18" si="2">S12-G12</f>
        <v>-5000</v>
      </c>
      <c r="S12">
        <f t="shared" ref="S12:S18" si="3">J12*$S$10</f>
        <v>40000</v>
      </c>
    </row>
    <row r="13" spans="1:19">
      <c r="A13" t="s">
        <v>16</v>
      </c>
      <c r="B13" s="30">
        <v>60000</v>
      </c>
      <c r="F13" t="s">
        <v>17</v>
      </c>
      <c r="G13">
        <f>G11-G15</f>
        <v>45000</v>
      </c>
      <c r="H13" s="6">
        <f t="shared" si="0"/>
        <v>0.45</v>
      </c>
      <c r="I13" t="s">
        <v>18</v>
      </c>
      <c r="J13" s="6">
        <f>J12</f>
        <v>0.25</v>
      </c>
      <c r="K13">
        <f t="shared" si="1"/>
        <v>25000</v>
      </c>
      <c r="M13">
        <f>K13</f>
        <v>25000</v>
      </c>
      <c r="R13">
        <f t="shared" si="2"/>
        <v>-5000</v>
      </c>
      <c r="S13">
        <f t="shared" si="3"/>
        <v>40000</v>
      </c>
    </row>
    <row r="14" spans="1:19">
      <c r="A14" t="s">
        <v>19</v>
      </c>
      <c r="B14" s="30" t="s">
        <v>20</v>
      </c>
      <c r="F14" t="s">
        <v>21</v>
      </c>
      <c r="G14">
        <v>30000</v>
      </c>
      <c r="H14" s="6">
        <f t="shared" si="0"/>
        <v>0.3</v>
      </c>
      <c r="I14" t="str">
        <f>F14</f>
        <v>Small</v>
      </c>
      <c r="J14" s="6">
        <f>J11-J12</f>
        <v>0.4</v>
      </c>
      <c r="K14">
        <f t="shared" si="1"/>
        <v>40000</v>
      </c>
      <c r="M14">
        <f>K14-G14</f>
        <v>10000</v>
      </c>
      <c r="R14">
        <f t="shared" si="2"/>
        <v>34000</v>
      </c>
      <c r="S14">
        <f t="shared" si="3"/>
        <v>64000</v>
      </c>
    </row>
    <row r="15" spans="1:19">
      <c r="A15" t="s">
        <v>22</v>
      </c>
      <c r="B15" s="30">
        <v>100000</v>
      </c>
      <c r="F15" t="s">
        <v>23</v>
      </c>
      <c r="G15">
        <v>30000</v>
      </c>
      <c r="H15" s="6">
        <f t="shared" si="0"/>
        <v>0.3</v>
      </c>
      <c r="I15" t="s">
        <v>24</v>
      </c>
      <c r="J15" s="6">
        <f>J14</f>
        <v>0.4</v>
      </c>
      <c r="K15">
        <f t="shared" si="1"/>
        <v>40000</v>
      </c>
      <c r="R15">
        <f t="shared" si="2"/>
        <v>34000</v>
      </c>
      <c r="S15">
        <f t="shared" si="3"/>
        <v>64000</v>
      </c>
    </row>
    <row r="16" spans="1:19">
      <c r="A16" t="s">
        <v>25</v>
      </c>
      <c r="B16" s="30" t="b">
        <v>1</v>
      </c>
      <c r="S16">
        <f t="shared" si="3"/>
        <v>0</v>
      </c>
    </row>
    <row r="17" spans="1:19">
      <c r="A17" t="s">
        <v>26</v>
      </c>
      <c r="B17" s="30" t="b">
        <v>0</v>
      </c>
      <c r="F17" t="s">
        <v>27</v>
      </c>
      <c r="G17">
        <f>G18</f>
        <v>25000</v>
      </c>
      <c r="H17" s="6">
        <f t="shared" si="0"/>
        <v>0.25</v>
      </c>
      <c r="I17" t="str">
        <f>F17</f>
        <v>Debt</v>
      </c>
      <c r="J17" s="6">
        <f>1-J11</f>
        <v>0.35</v>
      </c>
      <c r="K17">
        <f t="shared" si="1"/>
        <v>35000</v>
      </c>
      <c r="M17">
        <f>K17-G17</f>
        <v>10000</v>
      </c>
      <c r="R17">
        <f t="shared" si="2"/>
        <v>31000</v>
      </c>
      <c r="S17">
        <f t="shared" si="3"/>
        <v>56000</v>
      </c>
    </row>
    <row r="18" spans="1:19">
      <c r="A18" t="s">
        <v>28</v>
      </c>
      <c r="B18" s="30">
        <v>15</v>
      </c>
      <c r="F18" t="s">
        <v>29</v>
      </c>
      <c r="G18">
        <v>25000</v>
      </c>
      <c r="H18" s="6">
        <f t="shared" si="0"/>
        <v>0.25</v>
      </c>
      <c r="I18" t="str">
        <f>F18</f>
        <v>ICICI debt</v>
      </c>
      <c r="J18" s="6">
        <f>J17</f>
        <v>0.35</v>
      </c>
      <c r="K18">
        <f t="shared" si="1"/>
        <v>35000</v>
      </c>
      <c r="M18">
        <f>K18-G18</f>
        <v>10000</v>
      </c>
      <c r="R18">
        <f t="shared" si="2"/>
        <v>31000</v>
      </c>
      <c r="S18">
        <f t="shared" si="3"/>
        <v>56000</v>
      </c>
    </row>
    <row r="19" spans="1:19">
      <c r="A19" t="s">
        <v>30</v>
      </c>
      <c r="B19" s="30">
        <v>7</v>
      </c>
    </row>
    <row r="20" spans="1:19">
      <c r="A20" t="s">
        <v>31</v>
      </c>
      <c r="B20" s="30">
        <v>9</v>
      </c>
    </row>
    <row r="21" spans="1:19">
      <c r="A21" t="s">
        <v>32</v>
      </c>
      <c r="B21" s="30">
        <f>B12</f>
        <v>8000000</v>
      </c>
    </row>
    <row r="22" spans="1:19">
      <c r="A22" t="s">
        <v>33</v>
      </c>
      <c r="B22" s="30" t="s">
        <v>34</v>
      </c>
    </row>
    <row r="23" spans="1:19">
      <c r="A23" t="s">
        <v>35</v>
      </c>
      <c r="B23" s="30">
        <v>-2</v>
      </c>
    </row>
    <row r="24" spans="1:19">
      <c r="A24" t="s">
        <v>36</v>
      </c>
      <c r="B24" s="30">
        <v>65</v>
      </c>
    </row>
    <row r="25" spans="1:19">
      <c r="A25" t="s">
        <v>37</v>
      </c>
      <c r="B25" s="30">
        <v>25</v>
      </c>
    </row>
    <row r="26" spans="1:19">
      <c r="A26" t="s">
        <v>38</v>
      </c>
      <c r="B26" s="30">
        <v>10</v>
      </c>
    </row>
    <row r="27" spans="1:19">
      <c r="A27" t="s">
        <v>39</v>
      </c>
      <c r="B27" s="31">
        <v>0.5</v>
      </c>
    </row>
    <row r="28" spans="1:19">
      <c r="B28" s="30"/>
    </row>
    <row r="29" spans="1:19">
      <c r="B29" s="30"/>
    </row>
    <row r="30" spans="1:19">
      <c r="A30" s="2" t="s">
        <v>40</v>
      </c>
      <c r="B30" s="32"/>
      <c r="C30" s="2"/>
      <c r="D30" s="2"/>
      <c r="E30" s="2"/>
      <c r="F30" s="2"/>
    </row>
    <row r="31" spans="1:19">
      <c r="B31" s="30"/>
    </row>
    <row r="32" spans="1:19">
      <c r="A32" t="s">
        <v>41</v>
      </c>
      <c r="B32" s="30" t="s">
        <v>42</v>
      </c>
      <c r="C32" t="s">
        <v>43</v>
      </c>
    </row>
    <row r="33" spans="1:8">
      <c r="A33" t="s">
        <v>44</v>
      </c>
      <c r="B33" s="30">
        <v>0</v>
      </c>
      <c r="C33">
        <v>24</v>
      </c>
    </row>
    <row r="34" spans="1:8">
      <c r="A34" t="s">
        <v>45</v>
      </c>
      <c r="B34" s="30">
        <f>C33+1</f>
        <v>25</v>
      </c>
      <c r="C34">
        <f>5*12</f>
        <v>60</v>
      </c>
    </row>
    <row r="35" spans="1:8">
      <c r="A35" t="s">
        <v>46</v>
      </c>
      <c r="B35" s="30"/>
    </row>
    <row r="36" spans="1:8">
      <c r="A36" t="s">
        <v>47</v>
      </c>
      <c r="B36" s="30"/>
    </row>
    <row r="37" spans="1:8">
      <c r="A37" t="s">
        <v>48</v>
      </c>
      <c r="B37" s="30">
        <f>C34+1</f>
        <v>61</v>
      </c>
    </row>
    <row r="40" spans="1:8">
      <c r="A40" t="s">
        <v>49</v>
      </c>
      <c r="B40" t="s">
        <v>50</v>
      </c>
      <c r="C40" t="s">
        <v>41</v>
      </c>
      <c r="D40" t="s">
        <v>51</v>
      </c>
      <c r="E40" t="s">
        <v>52</v>
      </c>
      <c r="F40" t="s">
        <v>53</v>
      </c>
      <c r="G40" t="s">
        <v>54</v>
      </c>
      <c r="H40" t="s">
        <v>51</v>
      </c>
    </row>
    <row r="41" spans="1:8" ht="30.75">
      <c r="A41" s="33" t="s">
        <v>55</v>
      </c>
      <c r="B41" s="33">
        <v>60</v>
      </c>
      <c r="C41" s="34" t="str">
        <f>IF(A41="","",IF(B41&lt;$C$33,$A$33,IF(B41&gt;$C$34,$A$37,$A$34)))</f>
        <v>medium_term_goal_3</v>
      </c>
      <c r="D41" s="35">
        <f>IF(B41="","",ROUNDUP(B41/12,0))</f>
        <v>5</v>
      </c>
      <c r="E41" s="41">
        <f>25*10^5</f>
        <v>2500000</v>
      </c>
      <c r="F41" s="33" t="s">
        <v>56</v>
      </c>
      <c r="G41" s="33" t="s">
        <v>57</v>
      </c>
    </row>
    <row r="42" spans="1:8">
      <c r="A42" s="33" t="s">
        <v>58</v>
      </c>
      <c r="B42" s="33">
        <v>12</v>
      </c>
      <c r="C42" s="34" t="str">
        <f>IF(A42="","",IF(B42&lt;$C$33,$A$33,IF(B42&gt;$C$34,$A$37,$A$34)))</f>
        <v>short_term_goal</v>
      </c>
      <c r="D42" s="35">
        <f t="shared" ref="D42:D50" si="4">IF(B42="","",ROUNDUP(B42/12,0))</f>
        <v>1</v>
      </c>
      <c r="E42" s="41">
        <f>3*10^5</f>
        <v>300000</v>
      </c>
      <c r="F42" s="33" t="s">
        <v>56</v>
      </c>
      <c r="G42" s="33" t="s">
        <v>59</v>
      </c>
    </row>
    <row r="43" spans="1:8">
      <c r="A43" s="33" t="s">
        <v>60</v>
      </c>
      <c r="B43" s="33">
        <v>180</v>
      </c>
      <c r="C43" s="34" t="str">
        <f>IF(A43="","",IF(B43&lt;$C$33,$A$33,IF(B43&gt;$C$34,$A$37,$A$34)))</f>
        <v>long_term_goal</v>
      </c>
      <c r="D43" s="35">
        <f t="shared" si="4"/>
        <v>15</v>
      </c>
      <c r="E43" s="41">
        <v>20000000</v>
      </c>
      <c r="F43" s="33" t="s">
        <v>61</v>
      </c>
      <c r="G43" s="33" t="s">
        <v>62</v>
      </c>
    </row>
    <row r="44" spans="1:8">
      <c r="A44" s="33"/>
      <c r="B44" s="33"/>
      <c r="C44" s="34" t="str">
        <f t="shared" ref="C44:C50" si="5">IF(A44="","",IF(B44&lt;$C$33,$A$33,IF(B44&gt;$C$34,$A$37,$A$34)))</f>
        <v/>
      </c>
      <c r="D44" s="35" t="str">
        <f t="shared" si="4"/>
        <v/>
      </c>
      <c r="E44" s="34" t="str">
        <f>IF(C44="","",IF(D44&lt;$C$33,$A$33,IF(D44&gt;$C$34,$A$37,$A$34)))</f>
        <v/>
      </c>
      <c r="F44" s="34" t="str">
        <f>IF(D44="","",IF(E44&lt;$C$33,$A$33,IF(E44&gt;$C$34,$A$37,$A$34)))</f>
        <v/>
      </c>
      <c r="G44" s="33"/>
    </row>
    <row r="45" spans="1:8">
      <c r="A45" s="33"/>
      <c r="B45" s="33"/>
      <c r="C45" s="34" t="str">
        <f t="shared" si="5"/>
        <v/>
      </c>
      <c r="D45" s="35" t="str">
        <f t="shared" si="4"/>
        <v/>
      </c>
      <c r="E45" s="34" t="str">
        <f>IF(C45="","",IF(D45&lt;$C$33,$A$33,IF(D45&gt;$C$34,$A$37,$A$34)))</f>
        <v/>
      </c>
      <c r="F45" s="34" t="str">
        <f>IF(D45="","",IF(E45&lt;$C$33,$A$33,IF(E45&gt;$C$34,$A$37,$A$34)))</f>
        <v/>
      </c>
      <c r="G45" s="33"/>
    </row>
    <row r="46" spans="1:8">
      <c r="A46" s="33"/>
      <c r="B46" s="33"/>
      <c r="C46" s="34" t="str">
        <f t="shared" si="5"/>
        <v/>
      </c>
      <c r="D46" s="35" t="str">
        <f t="shared" si="4"/>
        <v/>
      </c>
      <c r="E46" s="34" t="str">
        <f>IF(C46="","",IF(D46&lt;$C$33,$A$33,IF(D46&gt;$C$34,$A$37,$A$34)))</f>
        <v/>
      </c>
      <c r="F46" s="34" t="str">
        <f>IF(D46="","",IF(E46&lt;$C$33,$A$33,IF(E46&gt;$C$34,$A$37,$A$34)))</f>
        <v/>
      </c>
      <c r="G46" s="33"/>
    </row>
    <row r="47" spans="1:8">
      <c r="A47" s="33"/>
      <c r="B47" s="33"/>
      <c r="C47" s="34" t="str">
        <f t="shared" si="5"/>
        <v/>
      </c>
      <c r="D47" s="35" t="str">
        <f t="shared" si="4"/>
        <v/>
      </c>
      <c r="E47" s="34"/>
      <c r="F47" s="34"/>
      <c r="G47" s="33"/>
    </row>
    <row r="48" spans="1:8">
      <c r="A48" s="33"/>
      <c r="B48" s="33"/>
      <c r="C48" s="34" t="str">
        <f t="shared" si="5"/>
        <v/>
      </c>
      <c r="D48" s="35" t="str">
        <f t="shared" si="4"/>
        <v/>
      </c>
      <c r="E48" s="34"/>
      <c r="F48" s="34"/>
      <c r="G48" s="33"/>
    </row>
    <row r="49" spans="1:7">
      <c r="A49" s="33"/>
      <c r="B49" s="33"/>
      <c r="C49" s="34" t="str">
        <f t="shared" si="5"/>
        <v/>
      </c>
      <c r="D49" s="35" t="str">
        <f t="shared" si="4"/>
        <v/>
      </c>
      <c r="E49" s="34"/>
      <c r="F49" s="34"/>
      <c r="G49" s="33"/>
    </row>
    <row r="50" spans="1:7">
      <c r="A50" s="33"/>
      <c r="B50" s="33"/>
      <c r="C50" s="34" t="str">
        <f t="shared" si="5"/>
        <v/>
      </c>
      <c r="D50" s="35" t="str">
        <f t="shared" si="4"/>
        <v/>
      </c>
      <c r="E50" s="34" t="str">
        <f>IF(C50="","",IF(D50&lt;$C$33,$A$33,IF(D50&gt;$C$34,$A$37,$A$34)))</f>
        <v/>
      </c>
      <c r="F50" s="34" t="str">
        <f>IF(D50="","",IF(E50&lt;$C$33,$A$33,IF(E50&gt;$C$34,$A$37,$A$34)))</f>
        <v/>
      </c>
      <c r="G50" s="33"/>
    </row>
    <row r="54" spans="1:7">
      <c r="A54" s="7" t="s">
        <v>63</v>
      </c>
      <c r="B54" s="7" t="s">
        <v>64</v>
      </c>
      <c r="D54" t="s">
        <v>65</v>
      </c>
      <c r="E54" t="s">
        <v>66</v>
      </c>
    </row>
    <row r="55" spans="1:7">
      <c r="A55" s="7">
        <v>0</v>
      </c>
      <c r="B55" s="7">
        <f>A55*12</f>
        <v>0</v>
      </c>
    </row>
    <row r="56" spans="1:7">
      <c r="A56" s="7">
        <f>A55+1</f>
        <v>1</v>
      </c>
      <c r="B56" s="7">
        <f>A56*12</f>
        <v>12</v>
      </c>
      <c r="D56" s="5">
        <f>SUMIF($D$41:$D$50,A56,$E$41:$E$50)</f>
        <v>300000</v>
      </c>
      <c r="E56" s="4">
        <f>D56/(1+F56)^A56</f>
        <v>283018.86792452831</v>
      </c>
      <c r="F56" s="6">
        <v>0.06</v>
      </c>
    </row>
    <row r="57" spans="1:7">
      <c r="A57" s="7">
        <f>A56+1</f>
        <v>2</v>
      </c>
      <c r="B57" s="7">
        <f>A57*12</f>
        <v>24</v>
      </c>
      <c r="D57" s="5">
        <f>SUMIF($D$41:$D$50,A57,$E$41:$E$50)</f>
        <v>0</v>
      </c>
      <c r="E57" s="4">
        <f>D57/(1+F57)^A57</f>
        <v>0</v>
      </c>
      <c r="F57" s="6">
        <v>0.06</v>
      </c>
    </row>
    <row r="58" spans="1:7">
      <c r="A58" s="7">
        <f>A57+1</f>
        <v>3</v>
      </c>
      <c r="B58" s="7">
        <f>A58*12</f>
        <v>36</v>
      </c>
      <c r="D58" s="5">
        <f>SUMIF($D$41:$D$50,A58,$E$41:$E$50)</f>
        <v>0</v>
      </c>
    </row>
    <row r="59" spans="1:7">
      <c r="A59" s="7">
        <f>A58+1</f>
        <v>4</v>
      </c>
      <c r="B59" s="7">
        <f>A59*12</f>
        <v>48</v>
      </c>
      <c r="D59" s="5">
        <f>SUMIF($D$41:$D$50,A59,$E$41:$E$50)</f>
        <v>0</v>
      </c>
    </row>
    <row r="60" spans="1:7">
      <c r="A60" s="7">
        <f>A59+1</f>
        <v>5</v>
      </c>
      <c r="B60" s="7">
        <f>A60*12</f>
        <v>60</v>
      </c>
      <c r="D60" s="5">
        <f>SUMIF($D$41:$D$50,A60,$E$41:$E$50)</f>
        <v>2500000</v>
      </c>
    </row>
    <row r="61" spans="1:7">
      <c r="A61" s="7">
        <f>A60+1</f>
        <v>6</v>
      </c>
      <c r="B61" s="7">
        <f>A61*12</f>
        <v>72</v>
      </c>
      <c r="D61" s="5">
        <f>SUMIF($D$41:$D$50,A61,$E$41:$E$50)</f>
        <v>0</v>
      </c>
    </row>
    <row r="62" spans="1:7">
      <c r="A62" s="7">
        <f>A61+1</f>
        <v>7</v>
      </c>
      <c r="B62" s="7">
        <f>A62*12</f>
        <v>84</v>
      </c>
      <c r="D62" s="5">
        <f>SUMIF($D$41:$D$50,A62,$E$41:$E$50)</f>
        <v>0</v>
      </c>
    </row>
    <row r="63" spans="1:7">
      <c r="A63" s="7">
        <f>A62+1</f>
        <v>8</v>
      </c>
      <c r="B63" s="7">
        <f>A63*12</f>
        <v>96</v>
      </c>
      <c r="D63" s="5">
        <f>SUMIF($D$41:$D$50,A63,$E$41:$E$50)</f>
        <v>0</v>
      </c>
    </row>
    <row r="64" spans="1:7">
      <c r="A64" s="7">
        <f>A63+1</f>
        <v>9</v>
      </c>
      <c r="B64" s="7">
        <f>A64*12</f>
        <v>108</v>
      </c>
      <c r="D64" s="5">
        <f>SUMIF($D$41:$D$50,A64,$E$41:$E$50)</f>
        <v>0</v>
      </c>
    </row>
    <row r="65" spans="1:6">
      <c r="A65" s="7">
        <f>A64+1</f>
        <v>10</v>
      </c>
      <c r="B65" s="7">
        <f>A65*12</f>
        <v>120</v>
      </c>
      <c r="D65" s="5">
        <f>SUMIF($D$41:$D$50,A65,$E$41:$E$50)</f>
        <v>0</v>
      </c>
      <c r="E65" s="4">
        <f>D65/(1+F65)^A65</f>
        <v>0</v>
      </c>
      <c r="F65" s="6">
        <v>0.1</v>
      </c>
    </row>
    <row r="66" spans="1:6">
      <c r="A66" s="7">
        <f>A65+1</f>
        <v>11</v>
      </c>
      <c r="B66" s="7">
        <f>A66*12</f>
        <v>132</v>
      </c>
      <c r="D66" s="5">
        <f>SUMIF($D$41:$D$50,A66,$E$41:$E$50)</f>
        <v>0</v>
      </c>
    </row>
    <row r="67" spans="1:6">
      <c r="A67" s="7">
        <f>A66+1</f>
        <v>12</v>
      </c>
      <c r="B67" s="7">
        <f>A67*12</f>
        <v>144</v>
      </c>
      <c r="D67" s="5">
        <f>SUMIF($D$41:$D$50,A67,$E$41:$E$50)</f>
        <v>0</v>
      </c>
    </row>
    <row r="68" spans="1:6">
      <c r="A68" s="7">
        <f>A67+1</f>
        <v>13</v>
      </c>
      <c r="B68" s="7">
        <f>A68*12</f>
        <v>156</v>
      </c>
      <c r="D68" s="5">
        <f>SUMIF($D$41:$D$50,A68,$E$41:$E$50)</f>
        <v>0</v>
      </c>
    </row>
    <row r="69" spans="1:6">
      <c r="A69" s="7">
        <f>A68+1</f>
        <v>14</v>
      </c>
      <c r="B69" s="7">
        <f>A69*12</f>
        <v>168</v>
      </c>
      <c r="D69" s="5">
        <f>SUMIF($D$41:$D$50,A69,$E$41:$E$50)</f>
        <v>0</v>
      </c>
    </row>
    <row r="70" spans="1:6">
      <c r="A70" s="7">
        <f>A69+1</f>
        <v>15</v>
      </c>
      <c r="B70" s="7">
        <f>A70*12</f>
        <v>180</v>
      </c>
      <c r="D70" s="5">
        <f>SUMIF($D$41:$D$50,A70,$E$41:$E$50)</f>
        <v>20000000</v>
      </c>
    </row>
    <row r="71" spans="1:6">
      <c r="A71" s="7">
        <f>A70+1</f>
        <v>16</v>
      </c>
      <c r="B71" s="7">
        <f>A71*12</f>
        <v>192</v>
      </c>
      <c r="D71" s="5">
        <f>SUMIF($D$41:$D$50,A71,$E$41:$E$50)</f>
        <v>0</v>
      </c>
    </row>
    <row r="72" spans="1:6">
      <c r="A72" s="7">
        <f>A71+1</f>
        <v>17</v>
      </c>
      <c r="B72" s="7">
        <f>A72*12</f>
        <v>204</v>
      </c>
      <c r="D72" s="5">
        <f>SUMIF($D$41:$D$50,A72,$E$41:$E$50)</f>
        <v>0</v>
      </c>
    </row>
    <row r="73" spans="1:6">
      <c r="A73" s="7">
        <f>A72+1</f>
        <v>18</v>
      </c>
      <c r="B73" s="7">
        <f>A73*12</f>
        <v>216</v>
      </c>
      <c r="D73" s="5">
        <f>SUMIF($D$41:$D$50,A73,$E$41:$E$50)</f>
        <v>0</v>
      </c>
    </row>
    <row r="74" spans="1:6">
      <c r="A74" s="7">
        <f>A73+1</f>
        <v>19</v>
      </c>
      <c r="B74" s="7">
        <f>A74*12</f>
        <v>228</v>
      </c>
      <c r="D74" s="5">
        <f>SUMIF($D$41:$D$50,A74,$E$41:$E$50)</f>
        <v>0</v>
      </c>
    </row>
    <row r="75" spans="1:6">
      <c r="A75" s="7">
        <f>A74+1</f>
        <v>20</v>
      </c>
      <c r="B75" s="7">
        <f>A75*12</f>
        <v>240</v>
      </c>
      <c r="D75" s="5">
        <f>SUMIF($D$41:$D$50,A75,$E$41:$E$50)</f>
        <v>0</v>
      </c>
    </row>
    <row r="76" spans="1:6">
      <c r="A76" s="7">
        <f>A75+1</f>
        <v>21</v>
      </c>
      <c r="B76" s="7">
        <f t="shared" ref="B76:B105" si="6">A76*12</f>
        <v>252</v>
      </c>
      <c r="D76" s="5">
        <f t="shared" ref="D76:D105" si="7">SUMIF($D$41:$D$50,A76,$E$41:$E$50)</f>
        <v>0</v>
      </c>
    </row>
    <row r="77" spans="1:6">
      <c r="A77" s="7">
        <f t="shared" ref="A77:A105" si="8">A76+1</f>
        <v>22</v>
      </c>
      <c r="B77" s="7">
        <f t="shared" si="6"/>
        <v>264</v>
      </c>
      <c r="D77" s="5">
        <f t="shared" si="7"/>
        <v>0</v>
      </c>
    </row>
    <row r="78" spans="1:6">
      <c r="A78" s="7">
        <f t="shared" si="8"/>
        <v>23</v>
      </c>
      <c r="B78" s="7">
        <f t="shared" si="6"/>
        <v>276</v>
      </c>
      <c r="D78" s="5">
        <f t="shared" si="7"/>
        <v>0</v>
      </c>
    </row>
    <row r="79" spans="1:6">
      <c r="A79" s="7">
        <f t="shared" si="8"/>
        <v>24</v>
      </c>
      <c r="B79" s="7">
        <f t="shared" si="6"/>
        <v>288</v>
      </c>
      <c r="D79" s="5">
        <f t="shared" si="7"/>
        <v>0</v>
      </c>
    </row>
    <row r="80" spans="1:6">
      <c r="A80" s="7">
        <f t="shared" si="8"/>
        <v>25</v>
      </c>
      <c r="B80" s="7">
        <f t="shared" si="6"/>
        <v>300</v>
      </c>
      <c r="D80" s="5">
        <f t="shared" si="7"/>
        <v>0</v>
      </c>
    </row>
    <row r="81" spans="1:4">
      <c r="A81" s="7">
        <f t="shared" si="8"/>
        <v>26</v>
      </c>
      <c r="B81" s="7">
        <f t="shared" si="6"/>
        <v>312</v>
      </c>
      <c r="D81" s="5">
        <f t="shared" si="7"/>
        <v>0</v>
      </c>
    </row>
    <row r="82" spans="1:4">
      <c r="A82" s="7">
        <f t="shared" si="8"/>
        <v>27</v>
      </c>
      <c r="B82" s="7">
        <f t="shared" si="6"/>
        <v>324</v>
      </c>
      <c r="D82" s="5">
        <f t="shared" si="7"/>
        <v>0</v>
      </c>
    </row>
    <row r="83" spans="1:4">
      <c r="A83" s="7">
        <f t="shared" si="8"/>
        <v>28</v>
      </c>
      <c r="B83" s="7">
        <f t="shared" si="6"/>
        <v>336</v>
      </c>
      <c r="D83" s="5">
        <f t="shared" si="7"/>
        <v>0</v>
      </c>
    </row>
    <row r="84" spans="1:4">
      <c r="A84" s="7">
        <f t="shared" si="8"/>
        <v>29</v>
      </c>
      <c r="B84" s="7">
        <f t="shared" si="6"/>
        <v>348</v>
      </c>
      <c r="D84" s="5">
        <f t="shared" si="7"/>
        <v>0</v>
      </c>
    </row>
    <row r="85" spans="1:4">
      <c r="A85" s="7">
        <f t="shared" si="8"/>
        <v>30</v>
      </c>
      <c r="B85" s="7">
        <f t="shared" si="6"/>
        <v>360</v>
      </c>
      <c r="D85" s="5">
        <f t="shared" si="7"/>
        <v>0</v>
      </c>
    </row>
    <row r="86" spans="1:4">
      <c r="A86" s="7">
        <f t="shared" si="8"/>
        <v>31</v>
      </c>
      <c r="B86" s="7">
        <f t="shared" si="6"/>
        <v>372</v>
      </c>
      <c r="D86" s="5">
        <f t="shared" si="7"/>
        <v>0</v>
      </c>
    </row>
    <row r="87" spans="1:4">
      <c r="A87" s="7">
        <f t="shared" si="8"/>
        <v>32</v>
      </c>
      <c r="B87" s="7">
        <f t="shared" si="6"/>
        <v>384</v>
      </c>
      <c r="D87" s="5">
        <f t="shared" si="7"/>
        <v>0</v>
      </c>
    </row>
    <row r="88" spans="1:4">
      <c r="A88" s="7">
        <f t="shared" si="8"/>
        <v>33</v>
      </c>
      <c r="B88" s="7">
        <f t="shared" si="6"/>
        <v>396</v>
      </c>
      <c r="D88" s="5">
        <f t="shared" si="7"/>
        <v>0</v>
      </c>
    </row>
    <row r="89" spans="1:4">
      <c r="A89" s="7">
        <f t="shared" si="8"/>
        <v>34</v>
      </c>
      <c r="B89" s="7">
        <f t="shared" si="6"/>
        <v>408</v>
      </c>
      <c r="D89" s="5">
        <f t="shared" si="7"/>
        <v>0</v>
      </c>
    </row>
    <row r="90" spans="1:4">
      <c r="A90" s="7">
        <f t="shared" si="8"/>
        <v>35</v>
      </c>
      <c r="B90" s="7">
        <f t="shared" si="6"/>
        <v>420</v>
      </c>
      <c r="D90" s="5">
        <f t="shared" si="7"/>
        <v>0</v>
      </c>
    </row>
    <row r="91" spans="1:4">
      <c r="A91" s="7">
        <f t="shared" si="8"/>
        <v>36</v>
      </c>
      <c r="B91" s="7">
        <f t="shared" si="6"/>
        <v>432</v>
      </c>
      <c r="D91" s="5">
        <f t="shared" si="7"/>
        <v>0</v>
      </c>
    </row>
    <row r="92" spans="1:4">
      <c r="A92" s="7">
        <f t="shared" si="8"/>
        <v>37</v>
      </c>
      <c r="B92" s="7">
        <f t="shared" si="6"/>
        <v>444</v>
      </c>
      <c r="D92" s="5">
        <f t="shared" si="7"/>
        <v>0</v>
      </c>
    </row>
    <row r="93" spans="1:4">
      <c r="A93" s="7">
        <f t="shared" si="8"/>
        <v>38</v>
      </c>
      <c r="B93" s="7">
        <f t="shared" si="6"/>
        <v>456</v>
      </c>
      <c r="D93" s="5">
        <f t="shared" si="7"/>
        <v>0</v>
      </c>
    </row>
    <row r="94" spans="1:4">
      <c r="A94" s="7">
        <f t="shared" si="8"/>
        <v>39</v>
      </c>
      <c r="B94" s="7">
        <f t="shared" si="6"/>
        <v>468</v>
      </c>
      <c r="D94" s="5">
        <f t="shared" si="7"/>
        <v>0</v>
      </c>
    </row>
    <row r="95" spans="1:4">
      <c r="A95" s="7">
        <f t="shared" si="8"/>
        <v>40</v>
      </c>
      <c r="B95" s="7">
        <f t="shared" si="6"/>
        <v>480</v>
      </c>
      <c r="D95" s="5">
        <f t="shared" si="7"/>
        <v>0</v>
      </c>
    </row>
    <row r="96" spans="1:4">
      <c r="A96" s="7">
        <f t="shared" si="8"/>
        <v>41</v>
      </c>
      <c r="B96" s="7">
        <f t="shared" si="6"/>
        <v>492</v>
      </c>
      <c r="D96" s="5">
        <f t="shared" si="7"/>
        <v>0</v>
      </c>
    </row>
    <row r="97" spans="1:6">
      <c r="A97" s="7">
        <f t="shared" si="8"/>
        <v>42</v>
      </c>
      <c r="B97" s="7">
        <f t="shared" si="6"/>
        <v>504</v>
      </c>
      <c r="D97" s="5">
        <f t="shared" si="7"/>
        <v>0</v>
      </c>
    </row>
    <row r="98" spans="1:6">
      <c r="A98" s="7">
        <f t="shared" si="8"/>
        <v>43</v>
      </c>
      <c r="B98" s="7">
        <f t="shared" si="6"/>
        <v>516</v>
      </c>
      <c r="D98" s="5">
        <f t="shared" si="7"/>
        <v>0</v>
      </c>
    </row>
    <row r="99" spans="1:6">
      <c r="A99" s="7">
        <f t="shared" si="8"/>
        <v>44</v>
      </c>
      <c r="B99" s="7">
        <f t="shared" si="6"/>
        <v>528</v>
      </c>
      <c r="D99" s="5">
        <f t="shared" si="7"/>
        <v>0</v>
      </c>
    </row>
    <row r="100" spans="1:6">
      <c r="A100" s="7">
        <f t="shared" si="8"/>
        <v>45</v>
      </c>
      <c r="B100" s="7">
        <f t="shared" si="6"/>
        <v>540</v>
      </c>
      <c r="D100" s="5">
        <f t="shared" si="7"/>
        <v>0</v>
      </c>
    </row>
    <row r="101" spans="1:6">
      <c r="A101" s="7">
        <f t="shared" si="8"/>
        <v>46</v>
      </c>
      <c r="B101" s="7">
        <f t="shared" si="6"/>
        <v>552</v>
      </c>
      <c r="D101" s="5">
        <f t="shared" si="7"/>
        <v>0</v>
      </c>
    </row>
    <row r="102" spans="1:6">
      <c r="A102" s="7">
        <f t="shared" si="8"/>
        <v>47</v>
      </c>
      <c r="B102" s="7">
        <f t="shared" si="6"/>
        <v>564</v>
      </c>
      <c r="D102" s="5">
        <f t="shared" si="7"/>
        <v>0</v>
      </c>
    </row>
    <row r="103" spans="1:6">
      <c r="A103" s="7">
        <f t="shared" si="8"/>
        <v>48</v>
      </c>
      <c r="B103" s="7">
        <f t="shared" si="6"/>
        <v>576</v>
      </c>
      <c r="D103" s="5">
        <f t="shared" si="7"/>
        <v>0</v>
      </c>
    </row>
    <row r="104" spans="1:6">
      <c r="A104" s="7">
        <f t="shared" si="8"/>
        <v>49</v>
      </c>
      <c r="B104" s="7">
        <f t="shared" si="6"/>
        <v>588</v>
      </c>
      <c r="D104" s="5">
        <f t="shared" si="7"/>
        <v>0</v>
      </c>
    </row>
    <row r="105" spans="1:6">
      <c r="A105" s="7">
        <f t="shared" si="8"/>
        <v>50</v>
      </c>
      <c r="B105" s="7">
        <f t="shared" si="6"/>
        <v>600</v>
      </c>
      <c r="D105" s="5">
        <f t="shared" si="7"/>
        <v>0</v>
      </c>
    </row>
    <row r="106" spans="1:6">
      <c r="A106" s="7"/>
      <c r="B106" s="7"/>
    </row>
    <row r="107" spans="1:6">
      <c r="A107" s="7"/>
      <c r="B107" s="7"/>
    </row>
    <row r="108" spans="1:6">
      <c r="A108" s="2" t="s">
        <v>67</v>
      </c>
      <c r="B108" s="2"/>
      <c r="C108" s="2"/>
      <c r="D108" s="2"/>
      <c r="E108" s="2"/>
      <c r="F108" s="2"/>
    </row>
    <row r="109" spans="1:6">
      <c r="A109" t="s">
        <v>68</v>
      </c>
      <c r="B109" t="s">
        <v>69</v>
      </c>
      <c r="D109" t="s">
        <v>70</v>
      </c>
      <c r="E109" t="s">
        <v>69</v>
      </c>
    </row>
    <row r="110" spans="1:6">
      <c r="A110" t="s">
        <v>71</v>
      </c>
      <c r="B110">
        <v>7</v>
      </c>
      <c r="D110" t="s">
        <v>72</v>
      </c>
      <c r="E110">
        <v>5</v>
      </c>
    </row>
    <row r="111" spans="1:6">
      <c r="A111" t="s">
        <v>73</v>
      </c>
      <c r="B111">
        <v>5</v>
      </c>
      <c r="D111" t="s">
        <v>74</v>
      </c>
      <c r="E111">
        <v>5</v>
      </c>
    </row>
    <row r="112" spans="1:6">
      <c r="A112" t="s">
        <v>75</v>
      </c>
      <c r="B112">
        <v>5</v>
      </c>
      <c r="D112" t="s">
        <v>76</v>
      </c>
      <c r="E112">
        <v>5</v>
      </c>
    </row>
    <row r="113" spans="1:6">
      <c r="D113" t="s">
        <v>77</v>
      </c>
      <c r="E113">
        <v>5</v>
      </c>
    </row>
    <row r="114" spans="1:6">
      <c r="A114" t="s">
        <v>78</v>
      </c>
      <c r="B114">
        <v>0</v>
      </c>
      <c r="D114" t="s">
        <v>79</v>
      </c>
      <c r="E114">
        <v>5</v>
      </c>
    </row>
    <row r="115" spans="1:6">
      <c r="A115" t="s">
        <v>80</v>
      </c>
      <c r="B115">
        <v>10</v>
      </c>
      <c r="D115" t="s">
        <v>81</v>
      </c>
      <c r="E115">
        <v>5</v>
      </c>
    </row>
    <row r="116" spans="1:6">
      <c r="A116" t="s">
        <v>82</v>
      </c>
      <c r="B116">
        <f>AVERAGE(B114:B115)</f>
        <v>5</v>
      </c>
      <c r="D116" t="s">
        <v>83</v>
      </c>
      <c r="E116">
        <v>8</v>
      </c>
    </row>
    <row r="118" spans="1:6">
      <c r="A118" s="2" t="s">
        <v>84</v>
      </c>
      <c r="B118" s="2" t="s">
        <v>85</v>
      </c>
      <c r="C118" s="2"/>
      <c r="D118" s="2"/>
      <c r="E118" s="2"/>
      <c r="F118" s="2"/>
    </row>
    <row r="120" spans="1:6">
      <c r="A120" t="s">
        <v>86</v>
      </c>
      <c r="B120" t="s">
        <v>2</v>
      </c>
    </row>
    <row r="121" spans="1:6">
      <c r="A121" t="s">
        <v>87</v>
      </c>
      <c r="B121">
        <f>IF(B16=FALSE,0,IF(B17=TRUE,6,3))</f>
        <v>3</v>
      </c>
    </row>
    <row r="122" spans="1:6">
      <c r="A122" t="s">
        <v>88</v>
      </c>
      <c r="B122">
        <f>IF(B121=0,0,ROUND(B121*B13,$B$23))</f>
        <v>180000</v>
      </c>
    </row>
    <row r="123" spans="1:6">
      <c r="A123" t="s">
        <v>89</v>
      </c>
      <c r="B123">
        <f>IF(B21&lt;0,ABS(B21),0)</f>
        <v>0</v>
      </c>
    </row>
    <row r="124" spans="1:6">
      <c r="A124" t="s">
        <v>90</v>
      </c>
      <c r="B124">
        <f>B122+B123</f>
        <v>180000</v>
      </c>
    </row>
    <row r="125" spans="1:6">
      <c r="A125" t="s">
        <v>91</v>
      </c>
      <c r="B125">
        <f>MAX(0,B21-B124)</f>
        <v>7820000</v>
      </c>
    </row>
    <row r="126" spans="1:6">
      <c r="A126" t="s">
        <v>92</v>
      </c>
      <c r="B126">
        <f>MAX(0,B124-B11)</f>
        <v>180000</v>
      </c>
    </row>
    <row r="127" spans="1:6">
      <c r="A127" t="s">
        <v>93</v>
      </c>
      <c r="B127">
        <f>B124</f>
        <v>180000</v>
      </c>
    </row>
    <row r="130" spans="1:6">
      <c r="A130" s="2" t="s">
        <v>94</v>
      </c>
      <c r="B130" s="2" t="s">
        <v>44</v>
      </c>
      <c r="C130" s="2"/>
      <c r="D130" s="2"/>
      <c r="E130" s="2"/>
      <c r="F130" s="2"/>
    </row>
    <row r="132" spans="1:6">
      <c r="A132" t="s">
        <v>95</v>
      </c>
      <c r="B132" t="str">
        <f>A244</f>
        <v>short_debt</v>
      </c>
    </row>
    <row r="133" spans="1:6">
      <c r="B133" t="str">
        <f>A245</f>
        <v>arbitrage_income</v>
      </c>
    </row>
    <row r="135" spans="1:6">
      <c r="A135" t="s">
        <v>86</v>
      </c>
      <c r="B135" t="s">
        <v>2</v>
      </c>
    </row>
    <row r="136" spans="1:6">
      <c r="A136" t="s">
        <v>96</v>
      </c>
      <c r="B136">
        <f>COUNTIF(C41:C50,B130)</f>
        <v>1</v>
      </c>
    </row>
    <row r="137" spans="1:6">
      <c r="A137" t="s">
        <v>97</v>
      </c>
      <c r="B137" s="5">
        <f>D55+D56</f>
        <v>300000</v>
      </c>
    </row>
    <row r="138" spans="1:6">
      <c r="A138" t="s">
        <v>98</v>
      </c>
      <c r="B138" s="3" t="str">
        <f>IF(B18&gt;20,B133,B132)</f>
        <v>short_debt</v>
      </c>
    </row>
    <row r="139" spans="1:6">
      <c r="A139" t="s">
        <v>99</v>
      </c>
      <c r="B139" s="5">
        <f>D57</f>
        <v>0</v>
      </c>
    </row>
    <row r="140" spans="1:6">
      <c r="A140" t="s">
        <v>98</v>
      </c>
      <c r="B140" t="str">
        <f>IF(B18&gt;12.5,B133,B132)</f>
        <v>arbitrage_income</v>
      </c>
    </row>
    <row r="141" spans="1:6">
      <c r="A141" t="s">
        <v>100</v>
      </c>
      <c r="B141" s="5">
        <f>B139+B137</f>
        <v>300000</v>
      </c>
    </row>
    <row r="142" spans="1:6">
      <c r="A142" t="s">
        <v>101</v>
      </c>
      <c r="B142" s="5">
        <f>ROUND(MIN(B141,B125),B23)</f>
        <v>300000</v>
      </c>
    </row>
    <row r="143" spans="1:6">
      <c r="A143" t="s">
        <v>91</v>
      </c>
      <c r="B143">
        <f>MAX(0,B125-B142)</f>
        <v>7520000</v>
      </c>
    </row>
    <row r="145" spans="1:6">
      <c r="A145" s="2" t="s">
        <v>102</v>
      </c>
      <c r="B145" s="2" t="s">
        <v>103</v>
      </c>
      <c r="C145" s="2"/>
      <c r="D145" s="2"/>
      <c r="E145" s="2"/>
      <c r="F145" s="2"/>
    </row>
    <row r="147" spans="1:6">
      <c r="A147" t="s">
        <v>104</v>
      </c>
    </row>
    <row r="148" spans="1:6">
      <c r="A148" s="21"/>
      <c r="B148" s="26" t="s">
        <v>105</v>
      </c>
      <c r="C148" s="26">
        <v>0</v>
      </c>
      <c r="D148" s="26">
        <f>C149</f>
        <v>4</v>
      </c>
      <c r="E148" s="26">
        <v>7</v>
      </c>
      <c r="F148" s="26"/>
    </row>
    <row r="149" spans="1:6">
      <c r="A149" s="22"/>
      <c r="B149" s="21" t="s">
        <v>106</v>
      </c>
      <c r="C149" s="21">
        <v>4</v>
      </c>
      <c r="D149" s="21">
        <v>7</v>
      </c>
      <c r="E149" s="21">
        <v>10</v>
      </c>
      <c r="F149" s="23" t="s">
        <v>107</v>
      </c>
    </row>
    <row r="150" spans="1:6">
      <c r="A150" s="21"/>
      <c r="B150" s="22">
        <v>60</v>
      </c>
      <c r="C150" s="24">
        <v>0.5</v>
      </c>
      <c r="D150" s="24">
        <v>0.3</v>
      </c>
      <c r="E150" s="24">
        <v>0.2</v>
      </c>
      <c r="F150" s="25">
        <f>IF(B110&lt;=3,C150,IF($B$5&lt;=$C$149,C150,IF($B$5&lt;=$D$149,D150,E150)))</f>
        <v>0.3</v>
      </c>
    </row>
    <row r="151" spans="1:6">
      <c r="A151" s="21"/>
      <c r="B151" s="22">
        <v>48</v>
      </c>
      <c r="C151" s="24">
        <v>0.65</v>
      </c>
      <c r="D151" s="24">
        <v>0.5</v>
      </c>
      <c r="E151" s="24">
        <v>0.35</v>
      </c>
      <c r="F151" s="25">
        <f>IF(B111&lt;=3,C151,IF($B$5&lt;=$C$149,C151,IF($B$5&lt;=$D$149,D151,E151)))</f>
        <v>0.5</v>
      </c>
    </row>
    <row r="152" spans="1:6">
      <c r="A152" s="21"/>
      <c r="B152" s="27">
        <v>36</v>
      </c>
      <c r="C152" s="28">
        <v>1</v>
      </c>
      <c r="D152" s="28">
        <v>1</v>
      </c>
      <c r="E152" s="28">
        <v>1</v>
      </c>
      <c r="F152" s="29">
        <f>IF(B112&lt;=3,C152,IF($B$5&lt;=$C$149,C152,IF($B$5&lt;=$D$149,D152,E152)))</f>
        <v>1</v>
      </c>
    </row>
    <row r="153" spans="1:6">
      <c r="A153" s="8"/>
      <c r="B153" s="8"/>
      <c r="C153" s="8"/>
      <c r="D153" s="8"/>
      <c r="E153" s="8"/>
      <c r="F153" s="8"/>
    </row>
    <row r="155" spans="1:6">
      <c r="A155" t="s">
        <v>86</v>
      </c>
      <c r="B155" t="s">
        <v>2</v>
      </c>
    </row>
    <row r="156" spans="1:6">
      <c r="A156" t="s">
        <v>108</v>
      </c>
      <c r="B156" t="s">
        <v>103</v>
      </c>
    </row>
    <row r="157" spans="1:6">
      <c r="B157" s="3"/>
    </row>
    <row r="158" spans="1:6">
      <c r="A158" t="s">
        <v>109</v>
      </c>
      <c r="B158" s="5">
        <f>D58</f>
        <v>0</v>
      </c>
    </row>
    <row r="159" spans="1:6">
      <c r="A159" t="s">
        <v>98</v>
      </c>
      <c r="B159" s="3" t="s">
        <v>110</v>
      </c>
    </row>
    <row r="160" spans="1:6">
      <c r="A160" t="s">
        <v>101</v>
      </c>
      <c r="B160" s="5">
        <f>ROUND(MIN(B158,B143)*F152,B23)</f>
        <v>0</v>
      </c>
    </row>
    <row r="161" spans="1:2">
      <c r="A161" t="s">
        <v>91</v>
      </c>
      <c r="B161" s="5">
        <f>MAX(0,B143-B160)</f>
        <v>7520000</v>
      </c>
    </row>
    <row r="162" spans="1:2">
      <c r="B162" s="5"/>
    </row>
    <row r="163" spans="1:2">
      <c r="A163" t="s">
        <v>111</v>
      </c>
      <c r="B163" s="5">
        <f>D59</f>
        <v>0</v>
      </c>
    </row>
    <row r="164" spans="1:2">
      <c r="A164" t="s">
        <v>98</v>
      </c>
      <c r="B164" s="3" t="s">
        <v>110</v>
      </c>
    </row>
    <row r="165" spans="1:2">
      <c r="A165" t="s">
        <v>101</v>
      </c>
      <c r="B165" s="5">
        <f>MIN(B163,B161)*F151</f>
        <v>0</v>
      </c>
    </row>
    <row r="166" spans="1:2">
      <c r="A166" t="s">
        <v>98</v>
      </c>
      <c r="B166" s="3" t="s">
        <v>112</v>
      </c>
    </row>
    <row r="167" spans="1:2">
      <c r="A167" t="s">
        <v>101</v>
      </c>
      <c r="B167" s="5">
        <f>ROUND(MIN(B163,B161)*(1-F151),B23)</f>
        <v>0</v>
      </c>
    </row>
    <row r="168" spans="1:2">
      <c r="A168" t="s">
        <v>91</v>
      </c>
      <c r="B168" s="5">
        <f>MAX(0,B161-B165-B167)</f>
        <v>7520000</v>
      </c>
    </row>
    <row r="169" spans="1:2">
      <c r="B169" s="5"/>
    </row>
    <row r="170" spans="1:2">
      <c r="A170" t="s">
        <v>113</v>
      </c>
      <c r="B170" s="5">
        <f>D60</f>
        <v>2500000</v>
      </c>
    </row>
    <row r="171" spans="1:2">
      <c r="A171" t="s">
        <v>98</v>
      </c>
      <c r="B171" s="3" t="s">
        <v>110</v>
      </c>
    </row>
    <row r="172" spans="1:2">
      <c r="A172" t="s">
        <v>101</v>
      </c>
      <c r="B172" s="5">
        <f>ROUND(MIN(B170,B168)*F150,B23)</f>
        <v>750000</v>
      </c>
    </row>
    <row r="173" spans="1:2">
      <c r="A173" t="s">
        <v>98</v>
      </c>
      <c r="B173" s="3" t="s">
        <v>112</v>
      </c>
    </row>
    <row r="174" spans="1:2">
      <c r="A174" t="s">
        <v>101</v>
      </c>
      <c r="B174" s="5">
        <f>MIN(B170,B168)*(1-F150)</f>
        <v>1750000</v>
      </c>
    </row>
    <row r="175" spans="1:2">
      <c r="A175" t="s">
        <v>91</v>
      </c>
      <c r="B175" s="5">
        <f>MAX(0,B168-B172-B174)</f>
        <v>5020000</v>
      </c>
    </row>
    <row r="177" spans="1:6">
      <c r="A177" s="2" t="s">
        <v>114</v>
      </c>
      <c r="B177" s="2" t="s">
        <v>48</v>
      </c>
      <c r="C177" s="2"/>
      <c r="D177" s="2"/>
      <c r="E177" s="2"/>
      <c r="F177" s="2"/>
    </row>
    <row r="179" spans="1:6">
      <c r="A179" t="s">
        <v>86</v>
      </c>
      <c r="B179" t="s">
        <v>2</v>
      </c>
    </row>
    <row r="180" spans="1:6">
      <c r="A180" t="s">
        <v>115</v>
      </c>
      <c r="B180" s="5">
        <f>ROUND(SUM(D61:D105),B23)</f>
        <v>20000000</v>
      </c>
    </row>
    <row r="181" spans="1:6">
      <c r="A181" t="s">
        <v>116</v>
      </c>
      <c r="B181" s="5">
        <f>MAX(0,B175)</f>
        <v>5020000</v>
      </c>
    </row>
    <row r="183" spans="1:6">
      <c r="E183">
        <f>3+4</f>
        <v>7</v>
      </c>
    </row>
    <row r="184" spans="1:6">
      <c r="A184" t="s">
        <v>117</v>
      </c>
      <c r="B184" s="9">
        <f>ROUNDUP(B5*2,0)/2</f>
        <v>5.5</v>
      </c>
    </row>
    <row r="185" spans="1:6">
      <c r="A185" t="s">
        <v>118</v>
      </c>
      <c r="B185" t="s">
        <v>119</v>
      </c>
      <c r="C185" t="s">
        <v>120</v>
      </c>
    </row>
    <row r="186" spans="1:6">
      <c r="A186" t="s">
        <v>121</v>
      </c>
      <c r="B186">
        <f>VLOOKUP($B$184,Table!$A$3:$G$21,2, FALSE)</f>
        <v>30</v>
      </c>
      <c r="C186">
        <f>VLOOKUP($B$184,Table!$A$3:$G$21,3, FALSE)</f>
        <v>60</v>
      </c>
      <c r="D186">
        <f>AVERAGE(B186:C186)</f>
        <v>45</v>
      </c>
    </row>
    <row r="187" spans="1:6">
      <c r="A187" t="s">
        <v>122</v>
      </c>
      <c r="B187">
        <f>VLOOKUP($B$184,Table!$A$3:$G$21,4, FALSE)</f>
        <v>30</v>
      </c>
      <c r="C187">
        <f>VLOOKUP($B$184,Table!$A$3:$G$21,5, FALSE)</f>
        <v>55</v>
      </c>
      <c r="D187">
        <f>AVERAGE(B187:C187)</f>
        <v>42.5</v>
      </c>
    </row>
    <row r="188" spans="1:6">
      <c r="A188" t="s">
        <v>123</v>
      </c>
      <c r="B188">
        <f>VLOOKUP(B184,Table!$A$3:$G$21,6, FALSE)</f>
        <v>5</v>
      </c>
      <c r="C188">
        <f>VLOOKUP($B$184,Table!$A$3:$G$21,7, FALSE)</f>
        <v>15</v>
      </c>
      <c r="D188">
        <f>AVERAGE(B188:C188)</f>
        <v>10</v>
      </c>
    </row>
    <row r="190" spans="1:6">
      <c r="A190" t="s">
        <v>124</v>
      </c>
      <c r="B190">
        <v>8</v>
      </c>
    </row>
    <row r="191" spans="1:6">
      <c r="A191" t="s">
        <v>125</v>
      </c>
      <c r="B191">
        <v>7</v>
      </c>
    </row>
    <row r="193" spans="1:6">
      <c r="A193" t="s">
        <v>126</v>
      </c>
      <c r="B193" t="s">
        <v>119</v>
      </c>
      <c r="C193" t="s">
        <v>120</v>
      </c>
      <c r="D193" t="s">
        <v>127</v>
      </c>
      <c r="E193" t="s">
        <v>128</v>
      </c>
      <c r="F193" t="s">
        <v>129</v>
      </c>
    </row>
    <row r="194" spans="1:6">
      <c r="A194" t="s">
        <v>121</v>
      </c>
      <c r="B194" s="10">
        <f>B186+(B$188-B$196)*B186/(B186+B187)</f>
        <v>30</v>
      </c>
      <c r="C194" s="10">
        <f>C186+(C$188-C$196)*C186/(C186+C187)</f>
        <v>60</v>
      </c>
      <c r="D194" s="4">
        <f>(C194-B194)*(B110-B116)/B115</f>
        <v>6</v>
      </c>
      <c r="E194" s="4">
        <f>AVERAGE(B194:C194)+D194</f>
        <v>51</v>
      </c>
      <c r="F194" s="4">
        <f>E194*100/$E$197</f>
        <v>49.275362318840578</v>
      </c>
    </row>
    <row r="195" spans="1:6">
      <c r="A195" t="s">
        <v>122</v>
      </c>
      <c r="B195" s="10">
        <f>B187+(B$188-B$196)*B187/(B186+B187)</f>
        <v>30</v>
      </c>
      <c r="C195" s="10">
        <f>C187+(C$188-C$196)*C187/(C186+C187)</f>
        <v>55</v>
      </c>
      <c r="D195" s="4">
        <f>(C195-B195)*(B111-B116)/B115</f>
        <v>0</v>
      </c>
      <c r="E195" s="4">
        <f t="shared" ref="E195:E196" si="9">AVERAGE(B195:C195)+D195</f>
        <v>42.5</v>
      </c>
      <c r="F195" s="4">
        <f t="shared" ref="F195:F196" si="10">E195*100/$E$197</f>
        <v>41.062801932367151</v>
      </c>
    </row>
    <row r="196" spans="1:6">
      <c r="A196" t="s">
        <v>123</v>
      </c>
      <c r="B196">
        <f>IF(AND($B$5&gt;B190, $B$112&lt;B191),0,B188)</f>
        <v>5</v>
      </c>
      <c r="C196">
        <f>IF(AND($B$5&gt;B190, $B$112&lt;B191),0,C188)</f>
        <v>15</v>
      </c>
      <c r="D196" s="4">
        <f>(C196-B196)*(B112-B116)/B115</f>
        <v>0</v>
      </c>
      <c r="E196" s="4">
        <f t="shared" si="9"/>
        <v>10</v>
      </c>
      <c r="F196" s="4">
        <f t="shared" si="10"/>
        <v>9.6618357487922708</v>
      </c>
    </row>
    <row r="197" spans="1:6">
      <c r="E197" s="4">
        <f>SUM(E194:E196)</f>
        <v>103.5</v>
      </c>
    </row>
    <row r="198" spans="1:6">
      <c r="E198" s="4"/>
    </row>
    <row r="199" spans="1:6">
      <c r="E199" s="4"/>
    </row>
    <row r="200" spans="1:6">
      <c r="A200" t="s">
        <v>130</v>
      </c>
      <c r="B200">
        <f>ROUND(B181*F194/100,-2)</f>
        <v>2473600</v>
      </c>
    </row>
    <row r="201" spans="1:6">
      <c r="A201" t="s">
        <v>131</v>
      </c>
      <c r="B201" s="5">
        <f>B181-B200-B202</f>
        <v>2061400</v>
      </c>
      <c r="C201" s="11">
        <f>B201/B181*100-F195</f>
        <v>9.4308755316774295E-4</v>
      </c>
      <c r="D201" t="s">
        <v>132</v>
      </c>
    </row>
    <row r="202" spans="1:6">
      <c r="A202" t="s">
        <v>133</v>
      </c>
      <c r="B202">
        <f>ROUND(B181*F196/100,-2)</f>
        <v>485000</v>
      </c>
    </row>
    <row r="203" spans="1:6">
      <c r="A203" t="s">
        <v>134</v>
      </c>
      <c r="B203">
        <f>IF(AND(B14="old",B15&lt;150000),MIN(150000-B15, B200),0)</f>
        <v>50000</v>
      </c>
    </row>
    <row r="204" spans="1:6">
      <c r="A204" t="s">
        <v>135</v>
      </c>
      <c r="B204">
        <f>MAX(0,B200-B203)</f>
        <v>2423600</v>
      </c>
    </row>
    <row r="205" spans="1:6">
      <c r="A205" t="s">
        <v>136</v>
      </c>
      <c r="B205">
        <f>ROUND(MIN(B204*B27/(B24/100),B201/(B25/100)),-2)</f>
        <v>1864300</v>
      </c>
    </row>
    <row r="206" spans="1:6">
      <c r="A206" t="s">
        <v>137</v>
      </c>
      <c r="B206">
        <f>B205*B24/100</f>
        <v>1211795</v>
      </c>
    </row>
    <row r="207" spans="1:6">
      <c r="A207" t="s">
        <v>138</v>
      </c>
      <c r="B207">
        <f>B205*B25/100</f>
        <v>466075</v>
      </c>
    </row>
    <row r="208" spans="1:6">
      <c r="A208" t="s">
        <v>139</v>
      </c>
      <c r="B208">
        <f>B205*B26/100</f>
        <v>186430</v>
      </c>
    </row>
    <row r="209" spans="1:11">
      <c r="A209" t="s">
        <v>140</v>
      </c>
      <c r="B209">
        <f>MAX(0,ROUND((B208-B202),B23))</f>
        <v>0</v>
      </c>
    </row>
    <row r="210" spans="1:11">
      <c r="A210" t="s">
        <v>141</v>
      </c>
      <c r="B210" s="5">
        <f>B209-B211</f>
        <v>0</v>
      </c>
    </row>
    <row r="211" spans="1:11">
      <c r="A211" t="s">
        <v>142</v>
      </c>
      <c r="B211" s="5">
        <f>MIN(ROUND(B209*F195/100,B23),B201-B207)</f>
        <v>0</v>
      </c>
    </row>
    <row r="212" spans="1:11">
      <c r="A212" t="s">
        <v>135</v>
      </c>
      <c r="B212">
        <f>B204-B206-B210</f>
        <v>1211805</v>
      </c>
    </row>
    <row r="214" spans="1:11">
      <c r="A214" t="s">
        <v>143</v>
      </c>
      <c r="B214">
        <v>7</v>
      </c>
    </row>
    <row r="215" spans="1:11">
      <c r="A215" t="s">
        <v>144</v>
      </c>
      <c r="B215">
        <v>7</v>
      </c>
    </row>
    <row r="216" spans="1:11">
      <c r="A216" t="s">
        <v>145</v>
      </c>
      <c r="B216">
        <v>7</v>
      </c>
    </row>
    <row r="218" spans="1:11">
      <c r="A218" t="s">
        <v>146</v>
      </c>
      <c r="B218" t="s">
        <v>147</v>
      </c>
      <c r="C218" t="s">
        <v>148</v>
      </c>
      <c r="D218" t="s">
        <v>149</v>
      </c>
      <c r="E218" t="s">
        <v>150</v>
      </c>
      <c r="F218" t="s">
        <v>151</v>
      </c>
      <c r="G218" t="s">
        <v>128</v>
      </c>
      <c r="H218" t="s">
        <v>129</v>
      </c>
      <c r="I218" t="s">
        <v>152</v>
      </c>
      <c r="J218" t="s">
        <v>153</v>
      </c>
      <c r="K218" t="s">
        <v>154</v>
      </c>
    </row>
    <row r="219" spans="1:11">
      <c r="A219" t="s">
        <v>81</v>
      </c>
      <c r="B219">
        <f>Table!J23</f>
        <v>10</v>
      </c>
      <c r="C219">
        <f>B219+1</f>
        <v>11</v>
      </c>
      <c r="D219">
        <f>IF(E115&lt;$B$215,0,VLOOKUP($B$184,Table!$A$26:$M$44,B219,FALSE))</f>
        <v>0</v>
      </c>
      <c r="E219">
        <f>IF(E115&lt;$B$215,0,VLOOKUP($B$184,Table!$A$26:$M$44,C219,FALSE))</f>
        <v>0</v>
      </c>
      <c r="F219" s="4">
        <f>(E219-D219)*(E115-$B$116)/$B$115</f>
        <v>0</v>
      </c>
      <c r="G219" s="4">
        <f>AVERAGE(D219:E219)+F219</f>
        <v>0</v>
      </c>
      <c r="H219" s="4">
        <f>G219*100/$G$225</f>
        <v>0</v>
      </c>
      <c r="I219" s="4">
        <f>H219*$B$212/($B$212+$B$205+$B$203)</f>
        <v>0</v>
      </c>
      <c r="J219" s="4">
        <f>IF(I219&lt;$B$216,0,H219)</f>
        <v>0</v>
      </c>
      <c r="K219" s="4">
        <f>J219*100/$J$225</f>
        <v>0</v>
      </c>
    </row>
    <row r="220" spans="1:11">
      <c r="A220" t="s">
        <v>74</v>
      </c>
      <c r="B220">
        <f>Table!L23</f>
        <v>12</v>
      </c>
      <c r="C220">
        <f t="shared" ref="C220:C224" si="11">B220+1</f>
        <v>13</v>
      </c>
      <c r="D220">
        <f>IF(E111&lt;$B$214,0,VLOOKUP($B$184,Table!$A$26:$M$44,B220,FALSE))</f>
        <v>0</v>
      </c>
      <c r="E220">
        <f>IF(E111&lt;$B$214,0,VLOOKUP($B$184,Table!$A$26:$M$44,C220,FALSE))</f>
        <v>0</v>
      </c>
      <c r="F220" s="4">
        <f>(E220-D220)*(E111-$B$116)/$B$115</f>
        <v>0</v>
      </c>
      <c r="G220" s="4">
        <f t="shared" ref="G220:G224" si="12">AVERAGE(D220:E220)+F220</f>
        <v>0</v>
      </c>
      <c r="H220" s="4">
        <f t="shared" ref="H220:H224" si="13">G220*100/$G$225</f>
        <v>0</v>
      </c>
      <c r="I220" s="4">
        <f t="shared" ref="I220:I224" si="14">H220*$B$212/($B$212+$B$205+$B$203)</f>
        <v>0</v>
      </c>
      <c r="J220" s="4">
        <f t="shared" ref="J220:J224" si="15">IF(I220&lt;$B$216,0,H220)</f>
        <v>0</v>
      </c>
      <c r="K220" s="4">
        <f t="shared" ref="K220:K224" si="16">J220*100/$J$225</f>
        <v>0</v>
      </c>
    </row>
    <row r="221" spans="1:11">
      <c r="A221" t="s">
        <v>83</v>
      </c>
      <c r="B221">
        <f>Table!B23</f>
        <v>2</v>
      </c>
      <c r="C221">
        <f t="shared" si="11"/>
        <v>3</v>
      </c>
      <c r="D221">
        <f>VLOOKUP($B$184,Table!$A$26:$M$44,B221,FALSE)</f>
        <v>20</v>
      </c>
      <c r="E221">
        <f>VLOOKUP($B$184,Table!$A$26:$M$44,C221,FALSE)</f>
        <v>40</v>
      </c>
      <c r="F221" s="4">
        <f>(E221-D221)*(E116-$B$116)/$B$115</f>
        <v>6</v>
      </c>
      <c r="G221" s="4">
        <f t="shared" si="12"/>
        <v>36</v>
      </c>
      <c r="H221" s="4">
        <f t="shared" si="13"/>
        <v>31.718061674008812</v>
      </c>
      <c r="I221" s="4">
        <f t="shared" si="14"/>
        <v>12.295206247669944</v>
      </c>
      <c r="J221" s="4">
        <f t="shared" si="15"/>
        <v>31.718061674008812</v>
      </c>
      <c r="K221" s="4">
        <f t="shared" si="16"/>
        <v>35.64356435643564</v>
      </c>
    </row>
    <row r="222" spans="1:11">
      <c r="A222" t="s">
        <v>72</v>
      </c>
      <c r="B222">
        <f>Table!D23</f>
        <v>4</v>
      </c>
      <c r="C222">
        <f t="shared" si="11"/>
        <v>5</v>
      </c>
      <c r="D222">
        <f>VLOOKUP($B$184,Table!$A$26:$M$44,B222,FALSE)</f>
        <v>30</v>
      </c>
      <c r="E222">
        <f>VLOOKUP($B$184,Table!$A$26:$M$44,C222,FALSE)</f>
        <v>55</v>
      </c>
      <c r="F222" s="4">
        <f>(E222-D222)*(E110-$B$116)/$B$115</f>
        <v>0</v>
      </c>
      <c r="G222" s="4">
        <f t="shared" si="12"/>
        <v>42.5</v>
      </c>
      <c r="H222" s="4">
        <f t="shared" si="13"/>
        <v>37.444933920704848</v>
      </c>
      <c r="I222" s="4">
        <f t="shared" si="14"/>
        <v>14.515174042388127</v>
      </c>
      <c r="J222" s="4">
        <f t="shared" si="15"/>
        <v>37.444933920704848</v>
      </c>
      <c r="K222" s="4">
        <f t="shared" si="16"/>
        <v>42.079207920792072</v>
      </c>
    </row>
    <row r="223" spans="1:11">
      <c r="A223" t="s">
        <v>77</v>
      </c>
      <c r="B223">
        <f>Table!F23</f>
        <v>6</v>
      </c>
      <c r="C223">
        <f t="shared" si="11"/>
        <v>7</v>
      </c>
      <c r="D223">
        <f>VLOOKUP($B$184,Table!$A$26:$M$44,B223,FALSE)</f>
        <v>10</v>
      </c>
      <c r="E223">
        <f>VLOOKUP($B$184,Table!$A$26:$M$44,C223,FALSE)</f>
        <v>35</v>
      </c>
      <c r="F223" s="4">
        <f>(E223-D223)*(E113-$B$116)/$B$115</f>
        <v>0</v>
      </c>
      <c r="G223" s="4">
        <f t="shared" si="12"/>
        <v>22.5</v>
      </c>
      <c r="H223" s="4">
        <f t="shared" si="13"/>
        <v>19.823788546255507</v>
      </c>
      <c r="I223" s="4">
        <f t="shared" si="14"/>
        <v>7.684503904793714</v>
      </c>
      <c r="J223" s="4">
        <f t="shared" si="15"/>
        <v>19.823788546255507</v>
      </c>
      <c r="K223" s="4">
        <f t="shared" si="16"/>
        <v>22.277227722772274</v>
      </c>
    </row>
    <row r="224" spans="1:11">
      <c r="A224" t="s">
        <v>79</v>
      </c>
      <c r="B224">
        <f>Table!H23</f>
        <v>8</v>
      </c>
      <c r="C224">
        <f t="shared" si="11"/>
        <v>9</v>
      </c>
      <c r="D224">
        <f>VLOOKUP($B$184,Table!$A$26:$M$44,B224,FALSE)</f>
        <v>5</v>
      </c>
      <c r="E224">
        <f>VLOOKUP($B$184,Table!$A$26:$M$44,C224,FALSE)</f>
        <v>20</v>
      </c>
      <c r="F224" s="4">
        <f>(E224-D224)*(E114-$B$116)/$B$115</f>
        <v>0</v>
      </c>
      <c r="G224" s="4">
        <f t="shared" si="12"/>
        <v>12.5</v>
      </c>
      <c r="H224" s="4">
        <f t="shared" si="13"/>
        <v>11.013215859030836</v>
      </c>
      <c r="I224" s="4">
        <f t="shared" si="14"/>
        <v>4.2691688359965081</v>
      </c>
      <c r="J224" s="4">
        <f t="shared" si="15"/>
        <v>0</v>
      </c>
      <c r="K224" s="4">
        <f t="shared" si="16"/>
        <v>0</v>
      </c>
    </row>
    <row r="225" spans="1:11">
      <c r="G225" s="4">
        <f>SUM(G219:G224)</f>
        <v>113.5</v>
      </c>
      <c r="H225" s="4">
        <f>SUM(H219:H224)</f>
        <v>100.00000000000001</v>
      </c>
      <c r="J225" s="4">
        <f>SUM(J219:J224)</f>
        <v>88.986784140969178</v>
      </c>
      <c r="K225" s="4">
        <f>SUM(K219:K224)</f>
        <v>99.999999999999972</v>
      </c>
    </row>
    <row r="227" spans="1:11">
      <c r="A227" t="s">
        <v>155</v>
      </c>
      <c r="B227">
        <f>ROUND(K219/100*$B$212,$B$23)</f>
        <v>0</v>
      </c>
    </row>
    <row r="228" spans="1:11">
      <c r="A228" t="s">
        <v>156</v>
      </c>
      <c r="B228">
        <f t="shared" ref="B228:B232" si="17">ROUND(K220/100*$B$212,$B$23)</f>
        <v>0</v>
      </c>
    </row>
    <row r="229" spans="1:11">
      <c r="A229" t="s">
        <v>157</v>
      </c>
      <c r="B229">
        <f t="shared" si="17"/>
        <v>431900</v>
      </c>
    </row>
    <row r="230" spans="1:11">
      <c r="A230" t="s">
        <v>158</v>
      </c>
      <c r="B230">
        <f t="shared" si="17"/>
        <v>509900</v>
      </c>
    </row>
    <row r="231" spans="1:11">
      <c r="A231" t="s">
        <v>159</v>
      </c>
      <c r="B231">
        <f t="shared" si="17"/>
        <v>270000</v>
      </c>
    </row>
    <row r="232" spans="1:11">
      <c r="A232" t="s">
        <v>160</v>
      </c>
      <c r="B232">
        <f t="shared" si="17"/>
        <v>0</v>
      </c>
    </row>
    <row r="234" spans="1:11">
      <c r="A234" t="s">
        <v>138</v>
      </c>
    </row>
    <row r="235" spans="1:11">
      <c r="A235" t="s">
        <v>161</v>
      </c>
      <c r="B235" s="5">
        <f>B201-B207-B211</f>
        <v>1595325</v>
      </c>
    </row>
    <row r="236" spans="1:11">
      <c r="A236" t="s">
        <v>110</v>
      </c>
      <c r="B236" s="5">
        <f>B235</f>
        <v>1595325</v>
      </c>
    </row>
    <row r="238" spans="1:11">
      <c r="A238" t="s">
        <v>162</v>
      </c>
      <c r="B238">
        <f>MAX(0,B202-(B208-B209))</f>
        <v>298570</v>
      </c>
    </row>
    <row r="239" spans="1:11">
      <c r="A239" t="s">
        <v>163</v>
      </c>
      <c r="B239">
        <f>ROUND(MAX(B238,0),B23)</f>
        <v>298600</v>
      </c>
      <c r="E239" t="s">
        <v>177</v>
      </c>
      <c r="F239" s="40">
        <f>B21-F257</f>
        <v>-25</v>
      </c>
    </row>
    <row r="240" spans="1:11">
      <c r="F240" s="40">
        <f>F257-SUM(B257:E257)</f>
        <v>0</v>
      </c>
    </row>
    <row r="241" spans="1:13">
      <c r="A241" s="2" t="s">
        <v>164</v>
      </c>
      <c r="B241" s="2"/>
      <c r="C241" s="2"/>
      <c r="D241" s="2"/>
      <c r="E241" s="2"/>
      <c r="F241" s="2"/>
      <c r="G241" s="2"/>
    </row>
    <row r="242" spans="1:13">
      <c r="A242" t="s">
        <v>165</v>
      </c>
      <c r="B242" s="37" t="s">
        <v>166</v>
      </c>
      <c r="C242" s="37" t="s">
        <v>167</v>
      </c>
      <c r="D242" s="37" t="s">
        <v>168</v>
      </c>
      <c r="E242" s="37" t="s">
        <v>169</v>
      </c>
      <c r="F242" s="37" t="s">
        <v>188</v>
      </c>
      <c r="G242" t="s">
        <v>189</v>
      </c>
      <c r="H242" t="s">
        <v>190</v>
      </c>
      <c r="I242" t="s">
        <v>132</v>
      </c>
      <c r="J242" s="7" t="s">
        <v>191</v>
      </c>
      <c r="L242" s="7" t="s">
        <v>192</v>
      </c>
      <c r="M242" t="s">
        <v>193</v>
      </c>
    </row>
    <row r="243" spans="1:13">
      <c r="A243" s="7" t="s">
        <v>171</v>
      </c>
      <c r="B243" s="48">
        <f>SUM(B244:B246)</f>
        <v>180000</v>
      </c>
      <c r="C243" s="48">
        <f t="shared" ref="C243:F243" si="18">SUM(C244:C246)</f>
        <v>300000</v>
      </c>
      <c r="D243" s="48">
        <f t="shared" si="18"/>
        <v>750000</v>
      </c>
      <c r="E243" s="48">
        <f t="shared" si="18"/>
        <v>1595325</v>
      </c>
      <c r="F243" s="48">
        <f t="shared" si="18"/>
        <v>2825325</v>
      </c>
      <c r="G243" s="49">
        <f>Allocation!F243</f>
        <v>1589525</v>
      </c>
      <c r="H243" s="49">
        <f>F243-G243</f>
        <v>1235800</v>
      </c>
      <c r="I243" s="48">
        <f t="shared" ref="I243" si="19">SUM(I244:I246)</f>
        <v>-220000</v>
      </c>
      <c r="J243" s="48">
        <f t="shared" ref="J243:L243" si="20">SUM(J244:J246)</f>
        <v>2525010.5</v>
      </c>
      <c r="K243" s="53">
        <f>F243-J243</f>
        <v>300314.5</v>
      </c>
      <c r="L243" s="48">
        <f t="shared" si="20"/>
        <v>2822824.9999999995</v>
      </c>
      <c r="M243" s="38">
        <f>L243-F243</f>
        <v>-2500.0000000004657</v>
      </c>
    </row>
    <row r="244" spans="1:13">
      <c r="A244" t="s">
        <v>172</v>
      </c>
      <c r="B244" s="38">
        <f>+B124</f>
        <v>180000</v>
      </c>
      <c r="C244" s="38">
        <f>IF($B$138=$A244,$B$137,0)+IF($B$140=$A244,$B$139,0)</f>
        <v>300000</v>
      </c>
      <c r="D244" s="38"/>
      <c r="E244" s="38"/>
      <c r="F244" s="38">
        <f>SUM(B244:E244)</f>
        <v>480000</v>
      </c>
      <c r="G244" s="5">
        <f>Allocation!F244</f>
        <v>480000</v>
      </c>
      <c r="H244" s="5">
        <f t="shared" ref="H244:H256" si="21">F244-G244</f>
        <v>0</v>
      </c>
      <c r="I244" s="5">
        <f>SUMIF($A$286:$A$322,A244,$M$286:$M$322)-H244</f>
        <v>-220000</v>
      </c>
      <c r="J244" s="38">
        <f>SUMIF($A$286:$A$322,A244,$AC$286:$AC$322)</f>
        <v>480000</v>
      </c>
      <c r="K244" s="53">
        <f t="shared" ref="K244:K256" si="22">F244-J244</f>
        <v>0</v>
      </c>
      <c r="L244" s="38">
        <f>SUMIF($A$286:$A$322,A244,$AP$286:$AP$322)</f>
        <v>480000</v>
      </c>
      <c r="M244" s="38">
        <f t="shared" ref="M244:M257" si="23">L244-F244</f>
        <v>0</v>
      </c>
    </row>
    <row r="245" spans="1:13">
      <c r="A245" t="s">
        <v>173</v>
      </c>
      <c r="B245" s="38"/>
      <c r="C245" s="38">
        <f>IF($B$138=$A245,$B$137,0)+IF($B$140=$A245,$B$139,0)</f>
        <v>0</v>
      </c>
      <c r="D245" s="38"/>
      <c r="E245" s="38"/>
      <c r="F245" s="38">
        <f>SUM(B245:E245)</f>
        <v>0</v>
      </c>
      <c r="G245" s="5">
        <f>Allocation!F245</f>
        <v>0</v>
      </c>
      <c r="H245" s="5">
        <f t="shared" si="21"/>
        <v>0</v>
      </c>
      <c r="I245" s="5">
        <f t="shared" ref="I245:I256" si="24">SUMIF($A$286:$A$322,A245,$M$286:$M$322)-H245</f>
        <v>0</v>
      </c>
      <c r="J245" s="38">
        <f>SUMIF($A$286:$A$322,A245,$AC$286:$AC$322)</f>
        <v>0</v>
      </c>
      <c r="K245" s="53">
        <f t="shared" si="22"/>
        <v>0</v>
      </c>
      <c r="L245" s="38">
        <f t="shared" ref="L245:L256" si="25">SUMIF($A$286:$A$322,A245,$AP$286:$AP$322)</f>
        <v>0</v>
      </c>
      <c r="M245" s="38">
        <f t="shared" si="23"/>
        <v>0</v>
      </c>
    </row>
    <row r="246" spans="1:13">
      <c r="A246" t="s">
        <v>110</v>
      </c>
      <c r="B246" s="38"/>
      <c r="C246" s="38"/>
      <c r="D246" s="38">
        <f>B160+B165+B172</f>
        <v>750000</v>
      </c>
      <c r="E246" s="38">
        <f>B236</f>
        <v>1595325</v>
      </c>
      <c r="F246" s="38">
        <f t="shared" ref="F246:F256" si="26">SUM(B246:E246)</f>
        <v>2345325</v>
      </c>
      <c r="G246" s="5">
        <f>Allocation!F246</f>
        <v>1109525</v>
      </c>
      <c r="H246" s="5">
        <f t="shared" si="21"/>
        <v>1235800</v>
      </c>
      <c r="I246" s="5">
        <f t="shared" si="24"/>
        <v>0</v>
      </c>
      <c r="J246" s="38">
        <f>SUMIF($A$286:$A$322,A246,$AC$286:$AC$322)</f>
        <v>2045010.5000000002</v>
      </c>
      <c r="K246" s="53">
        <f t="shared" si="22"/>
        <v>300314.49999999977</v>
      </c>
      <c r="L246" s="38">
        <f t="shared" si="25"/>
        <v>2342824.9999999995</v>
      </c>
      <c r="M246" s="38">
        <f t="shared" si="23"/>
        <v>-2500.0000000004657</v>
      </c>
    </row>
    <row r="247" spans="1:13">
      <c r="A247" s="7" t="s">
        <v>174</v>
      </c>
      <c r="B247" s="48">
        <f t="shared" ref="B247:D247" si="27">SUM(B248:B255)</f>
        <v>0</v>
      </c>
      <c r="C247" s="48">
        <f t="shared" si="27"/>
        <v>0</v>
      </c>
      <c r="D247" s="48">
        <f t="shared" si="27"/>
        <v>1750000</v>
      </c>
      <c r="E247" s="48">
        <f>SUM(E248:E255)</f>
        <v>3126100</v>
      </c>
      <c r="F247" s="48">
        <f t="shared" si="26"/>
        <v>4876100</v>
      </c>
      <c r="G247" s="49">
        <f>Allocation!F247</f>
        <v>8098800</v>
      </c>
      <c r="H247" s="49">
        <f t="shared" si="21"/>
        <v>-3222700</v>
      </c>
      <c r="I247" s="48">
        <f>SUM(I248:I255)</f>
        <v>0</v>
      </c>
      <c r="J247" s="48">
        <f>SUM(J248:J255)</f>
        <v>5163314.5</v>
      </c>
      <c r="L247" s="48">
        <f>SUM(L248:L255)</f>
        <v>4865500</v>
      </c>
      <c r="M247" s="38">
        <f t="shared" si="23"/>
        <v>-10600</v>
      </c>
    </row>
    <row r="248" spans="1:13">
      <c r="A248" t="s">
        <v>175</v>
      </c>
      <c r="B248" s="38"/>
      <c r="C248" s="38"/>
      <c r="D248" s="38"/>
      <c r="E248" s="38">
        <f>B203</f>
        <v>50000</v>
      </c>
      <c r="F248" s="38">
        <f t="shared" si="26"/>
        <v>50000</v>
      </c>
      <c r="G248" s="5">
        <f>Allocation!F248</f>
        <v>50000</v>
      </c>
      <c r="H248" s="5">
        <f t="shared" si="21"/>
        <v>0</v>
      </c>
      <c r="I248" s="5">
        <f t="shared" si="24"/>
        <v>0</v>
      </c>
      <c r="J248" s="38">
        <f>SUMIF($A$286:$A$322,A248,$AC$286:$AC$322)</f>
        <v>50000</v>
      </c>
      <c r="K248" s="53">
        <f t="shared" si="22"/>
        <v>0</v>
      </c>
      <c r="L248" s="38">
        <f t="shared" si="25"/>
        <v>50000</v>
      </c>
      <c r="M248" s="38">
        <f t="shared" si="23"/>
        <v>0</v>
      </c>
    </row>
    <row r="249" spans="1:13">
      <c r="A249" t="s">
        <v>176</v>
      </c>
      <c r="B249" s="38"/>
      <c r="C249" s="38"/>
      <c r="D249" s="38">
        <f>B167+B174</f>
        <v>1750000</v>
      </c>
      <c r="E249" s="38">
        <f>B205</f>
        <v>1864300</v>
      </c>
      <c r="F249" s="38">
        <f t="shared" si="26"/>
        <v>3614300</v>
      </c>
      <c r="G249" s="5">
        <f>Allocation!F249</f>
        <v>5665900</v>
      </c>
      <c r="H249" s="5">
        <f t="shared" si="21"/>
        <v>-2051600</v>
      </c>
      <c r="I249" s="5">
        <f t="shared" si="24"/>
        <v>0</v>
      </c>
      <c r="J249" s="38">
        <f>SUMIF($A$286:$A$322,A249,$AC$286:$AC$322)</f>
        <v>3616482.5</v>
      </c>
      <c r="K249" s="53">
        <f t="shared" si="22"/>
        <v>-2182.5</v>
      </c>
      <c r="L249" s="38">
        <f t="shared" si="25"/>
        <v>3614300</v>
      </c>
      <c r="M249" s="38">
        <f t="shared" si="23"/>
        <v>0</v>
      </c>
    </row>
    <row r="250" spans="1:13">
      <c r="A250" t="s">
        <v>72</v>
      </c>
      <c r="B250" s="38"/>
      <c r="C250" s="38"/>
      <c r="D250" s="38"/>
      <c r="E250" s="38">
        <f>SUMIF($A$227:$A$232,CONCATENATE(A250,"_amount"),$B$227:$B$232)</f>
        <v>509900</v>
      </c>
      <c r="F250" s="38">
        <f t="shared" si="26"/>
        <v>509900</v>
      </c>
      <c r="G250" s="5">
        <f>Allocation!F250</f>
        <v>654600</v>
      </c>
      <c r="H250" s="5">
        <f t="shared" si="21"/>
        <v>-144700</v>
      </c>
      <c r="I250" s="5">
        <f t="shared" si="24"/>
        <v>0</v>
      </c>
      <c r="J250" s="38">
        <f>SUMIF($A$286:$A$322,A250,$AC$286:$AC$322)</f>
        <v>499300.00000000023</v>
      </c>
      <c r="K250" s="53">
        <f t="shared" si="22"/>
        <v>10599.999999999767</v>
      </c>
      <c r="L250" s="38">
        <f t="shared" si="25"/>
        <v>499300.00000000023</v>
      </c>
      <c r="M250" s="38">
        <f t="shared" si="23"/>
        <v>-10599.999999999767</v>
      </c>
    </row>
    <row r="251" spans="1:13">
      <c r="A251" t="s">
        <v>77</v>
      </c>
      <c r="B251" s="38"/>
      <c r="C251" s="38"/>
      <c r="D251" s="38"/>
      <c r="E251" s="38">
        <f t="shared" ref="E251:E255" si="28">SUMIF($A$227:$A$232,CONCATENATE(A251,"_amount"),$B$227:$B$232)</f>
        <v>270000</v>
      </c>
      <c r="F251" s="38">
        <f t="shared" si="26"/>
        <v>270000</v>
      </c>
      <c r="G251" s="5">
        <f>Allocation!F251</f>
        <v>785600</v>
      </c>
      <c r="H251" s="5">
        <f t="shared" si="21"/>
        <v>-515600</v>
      </c>
      <c r="I251" s="5">
        <f t="shared" si="24"/>
        <v>0</v>
      </c>
      <c r="J251" s="38">
        <f>SUMIF($A$286:$A$322,A251,$AC$286:$AC$322)</f>
        <v>565632</v>
      </c>
      <c r="K251" s="53">
        <f t="shared" si="22"/>
        <v>-295632</v>
      </c>
      <c r="L251" s="38">
        <f t="shared" si="25"/>
        <v>270000</v>
      </c>
      <c r="M251" s="38">
        <f t="shared" si="23"/>
        <v>0</v>
      </c>
    </row>
    <row r="252" spans="1:13">
      <c r="A252" t="s">
        <v>79</v>
      </c>
      <c r="B252" s="38"/>
      <c r="C252" s="38"/>
      <c r="D252" s="38"/>
      <c r="E252" s="38">
        <f t="shared" si="28"/>
        <v>0</v>
      </c>
      <c r="F252" s="38">
        <f t="shared" si="26"/>
        <v>0</v>
      </c>
      <c r="G252" s="5">
        <f>Allocation!F252</f>
        <v>0</v>
      </c>
      <c r="H252" s="5">
        <f t="shared" si="21"/>
        <v>0</v>
      </c>
      <c r="I252" s="5">
        <f t="shared" si="24"/>
        <v>0</v>
      </c>
      <c r="J252" s="38">
        <f>SUMIF($A$286:$A$322,A252,$AC$286:$AC$322)</f>
        <v>0</v>
      </c>
      <c r="K252" s="53">
        <f t="shared" si="22"/>
        <v>0</v>
      </c>
      <c r="L252" s="38">
        <f t="shared" si="25"/>
        <v>0</v>
      </c>
      <c r="M252" s="38">
        <f t="shared" si="23"/>
        <v>0</v>
      </c>
    </row>
    <row r="253" spans="1:13">
      <c r="A253" t="s">
        <v>74</v>
      </c>
      <c r="B253" s="38"/>
      <c r="C253" s="38"/>
      <c r="D253" s="38"/>
      <c r="E253" s="38">
        <f t="shared" si="28"/>
        <v>0</v>
      </c>
      <c r="F253" s="38">
        <f t="shared" si="26"/>
        <v>0</v>
      </c>
      <c r="G253" s="5">
        <f>Allocation!F253</f>
        <v>0</v>
      </c>
      <c r="H253" s="5">
        <f t="shared" si="21"/>
        <v>0</v>
      </c>
      <c r="I253" s="5">
        <f t="shared" si="24"/>
        <v>0</v>
      </c>
      <c r="J253" s="38">
        <f>SUMIF($A$286:$A$322,A253,$AC$286:$AC$322)</f>
        <v>0</v>
      </c>
      <c r="K253" s="53">
        <f t="shared" si="22"/>
        <v>0</v>
      </c>
      <c r="L253" s="38">
        <f t="shared" si="25"/>
        <v>0</v>
      </c>
      <c r="M253" s="38">
        <f t="shared" si="23"/>
        <v>0</v>
      </c>
    </row>
    <row r="254" spans="1:13">
      <c r="A254" t="s">
        <v>81</v>
      </c>
      <c r="B254" s="38"/>
      <c r="C254" s="38"/>
      <c r="D254" s="38"/>
      <c r="E254" s="38">
        <f t="shared" si="28"/>
        <v>0</v>
      </c>
      <c r="F254" s="38">
        <f t="shared" si="26"/>
        <v>0</v>
      </c>
      <c r="G254" s="5">
        <f>Allocation!F254</f>
        <v>0</v>
      </c>
      <c r="H254" s="5">
        <f t="shared" si="21"/>
        <v>0</v>
      </c>
      <c r="I254" s="5">
        <f t="shared" si="24"/>
        <v>0</v>
      </c>
      <c r="J254" s="38">
        <f>SUMIF($A$286:$A$322,A254,$AC$286:$AC$322)</f>
        <v>0</v>
      </c>
      <c r="K254" s="53">
        <f t="shared" si="22"/>
        <v>0</v>
      </c>
      <c r="L254" s="38">
        <f t="shared" si="25"/>
        <v>0</v>
      </c>
      <c r="M254" s="38">
        <f t="shared" si="23"/>
        <v>0</v>
      </c>
    </row>
    <row r="255" spans="1:13">
      <c r="A255" t="s">
        <v>83</v>
      </c>
      <c r="B255" s="38"/>
      <c r="C255" s="38"/>
      <c r="D255" s="38"/>
      <c r="E255" s="38">
        <f t="shared" si="28"/>
        <v>431900</v>
      </c>
      <c r="F255" s="38">
        <f t="shared" si="26"/>
        <v>431900</v>
      </c>
      <c r="G255" s="5">
        <f>Allocation!F255</f>
        <v>942700</v>
      </c>
      <c r="H255" s="5">
        <f t="shared" si="21"/>
        <v>-510800</v>
      </c>
      <c r="I255" s="5">
        <f t="shared" si="24"/>
        <v>0</v>
      </c>
      <c r="J255" s="38">
        <f>SUMIF($A$286:$A$322,A255,$AC$286:$AC$322)</f>
        <v>431900</v>
      </c>
      <c r="K255" s="53">
        <f t="shared" si="22"/>
        <v>0</v>
      </c>
      <c r="L255" s="38">
        <f t="shared" si="25"/>
        <v>431900</v>
      </c>
      <c r="M255" s="38">
        <f t="shared" si="23"/>
        <v>0</v>
      </c>
    </row>
    <row r="256" spans="1:13">
      <c r="A256" t="s">
        <v>163</v>
      </c>
      <c r="B256" s="38"/>
      <c r="C256" s="38"/>
      <c r="D256" s="38"/>
      <c r="E256" s="38">
        <f>B239</f>
        <v>298600</v>
      </c>
      <c r="F256" s="38">
        <f t="shared" si="26"/>
        <v>298600</v>
      </c>
      <c r="G256" s="5">
        <f>Allocation!F256</f>
        <v>311700</v>
      </c>
      <c r="H256" s="5">
        <f t="shared" si="21"/>
        <v>-13100</v>
      </c>
      <c r="I256" s="5">
        <f t="shared" si="24"/>
        <v>0</v>
      </c>
      <c r="J256" s="38">
        <f>SUMIF($A$286:$A$322,A256,$AC$286:$AC$322)</f>
        <v>311700</v>
      </c>
      <c r="K256" s="53">
        <f t="shared" si="22"/>
        <v>-13100</v>
      </c>
      <c r="L256" s="38">
        <f t="shared" si="25"/>
        <v>311700</v>
      </c>
      <c r="M256" s="38">
        <f t="shared" si="23"/>
        <v>13100</v>
      </c>
    </row>
    <row r="257" spans="1:13">
      <c r="A257" s="36" t="s">
        <v>170</v>
      </c>
      <c r="B257" s="39">
        <f>SUM(B256,B247,B243)</f>
        <v>180000</v>
      </c>
      <c r="C257" s="39">
        <f t="shared" ref="C257:L257" si="29">SUM(C256,C247,C243)</f>
        <v>300000</v>
      </c>
      <c r="D257" s="39">
        <f t="shared" si="29"/>
        <v>2500000</v>
      </c>
      <c r="E257" s="39">
        <f t="shared" si="29"/>
        <v>5020025</v>
      </c>
      <c r="F257" s="39">
        <f t="shared" si="29"/>
        <v>8000025</v>
      </c>
      <c r="G257" s="39">
        <f t="shared" si="29"/>
        <v>10000025</v>
      </c>
      <c r="H257" s="39">
        <f t="shared" si="29"/>
        <v>-2000000</v>
      </c>
      <c r="J257" s="39">
        <f t="shared" si="29"/>
        <v>8000025</v>
      </c>
      <c r="L257" s="39">
        <f t="shared" si="29"/>
        <v>8000025</v>
      </c>
      <c r="M257" s="38">
        <f t="shared" si="23"/>
        <v>0</v>
      </c>
    </row>
    <row r="258" spans="1:13" hidden="1" outlineLevel="1"/>
    <row r="259" spans="1:13" hidden="1" outlineLevel="1"/>
    <row r="260" spans="1:13" hidden="1" outlineLevel="1">
      <c r="C260">
        <v>10000000</v>
      </c>
      <c r="F260">
        <v>5000000</v>
      </c>
      <c r="I260">
        <v>10000000</v>
      </c>
    </row>
    <row r="261" spans="1:13" hidden="1" outlineLevel="1">
      <c r="A261" t="str">
        <f>A257</f>
        <v>total</v>
      </c>
      <c r="B261" s="43">
        <f>B262+B266+B275</f>
        <v>1</v>
      </c>
      <c r="C261" s="5">
        <f>E257</f>
        <v>5020025</v>
      </c>
      <c r="E261" s="43">
        <v>1</v>
      </c>
      <c r="F261" s="5">
        <v>2020125</v>
      </c>
      <c r="H261" s="43">
        <v>0.99999999999999989</v>
      </c>
      <c r="I261" s="5">
        <v>7020025</v>
      </c>
      <c r="K261" s="43">
        <v>1</v>
      </c>
      <c r="L261" s="5">
        <v>5000125</v>
      </c>
    </row>
    <row r="262" spans="1:13" hidden="1" outlineLevel="1">
      <c r="A262" t="str">
        <f>A243</f>
        <v>debt_subgroup</v>
      </c>
      <c r="B262" s="43">
        <f>C262/$C$261</f>
        <v>0.3177922420705076</v>
      </c>
      <c r="C262" s="5">
        <f>E243</f>
        <v>1595325</v>
      </c>
      <c r="D262" s="42"/>
      <c r="E262" s="43">
        <v>9.0204814058535976E-2</v>
      </c>
      <c r="F262" s="5">
        <v>182225</v>
      </c>
      <c r="H262" s="43">
        <v>8.6826613865335231E-2</v>
      </c>
      <c r="I262" s="5">
        <v>609525</v>
      </c>
      <c r="K262" s="43">
        <v>9.0204814058535976E-2</v>
      </c>
      <c r="L262" s="5">
        <v>1162225</v>
      </c>
    </row>
    <row r="263" spans="1:13" hidden="1" outlineLevel="1">
      <c r="A263" t="str">
        <f>A244</f>
        <v>short_debt</v>
      </c>
      <c r="B263" s="43">
        <f t="shared" ref="B263:B275" si="30">C263/$C$261</f>
        <v>0</v>
      </c>
      <c r="C263" s="5">
        <f t="shared" ref="C263:C275" si="31">E244</f>
        <v>0</v>
      </c>
      <c r="D263" s="42"/>
      <c r="E263" s="43">
        <v>0</v>
      </c>
      <c r="F263" s="5">
        <v>0</v>
      </c>
      <c r="H263" s="43">
        <v>0</v>
      </c>
      <c r="I263" s="5">
        <v>0</v>
      </c>
      <c r="K263" s="43">
        <v>0</v>
      </c>
      <c r="L263" s="5">
        <v>480000</v>
      </c>
    </row>
    <row r="264" spans="1:13" hidden="1" outlineLevel="1">
      <c r="A264" t="str">
        <f>A245</f>
        <v>arbitrage_income</v>
      </c>
      <c r="B264" s="43">
        <f t="shared" si="30"/>
        <v>0</v>
      </c>
      <c r="C264" s="5">
        <f t="shared" si="31"/>
        <v>0</v>
      </c>
      <c r="D264" s="42"/>
      <c r="E264" s="43">
        <v>0</v>
      </c>
      <c r="F264" s="5">
        <v>0</v>
      </c>
      <c r="H264" s="43">
        <v>0</v>
      </c>
      <c r="I264" s="5">
        <v>0</v>
      </c>
      <c r="K264" s="43">
        <v>0</v>
      </c>
      <c r="L264" s="5">
        <v>0</v>
      </c>
    </row>
    <row r="265" spans="1:13" hidden="1" outlineLevel="1">
      <c r="A265" t="str">
        <f>A246</f>
        <v>arbitrage_plus_income</v>
      </c>
      <c r="B265" s="43">
        <f t="shared" si="30"/>
        <v>0.3177922420705076</v>
      </c>
      <c r="C265" s="5">
        <f t="shared" si="31"/>
        <v>1595325</v>
      </c>
      <c r="D265" s="42"/>
      <c r="E265" s="43">
        <v>9.0204814058535976E-2</v>
      </c>
      <c r="F265" s="5">
        <v>182225</v>
      </c>
      <c r="H265" s="43">
        <v>8.6826613865335231E-2</v>
      </c>
      <c r="I265" s="5">
        <v>609525</v>
      </c>
      <c r="K265" s="43">
        <v>9.0204814058535976E-2</v>
      </c>
      <c r="L265" s="5">
        <v>682225</v>
      </c>
    </row>
    <row r="266" spans="1:13" hidden="1" outlineLevel="1">
      <c r="A266" t="str">
        <f>A247</f>
        <v>equities_subgroup</v>
      </c>
      <c r="B266" s="43">
        <f t="shared" si="30"/>
        <v>0.62272598244032651</v>
      </c>
      <c r="C266" s="5">
        <f t="shared" si="31"/>
        <v>3126100</v>
      </c>
      <c r="D266" s="42"/>
      <c r="E266" s="43">
        <v>0.86400594022647115</v>
      </c>
      <c r="F266" s="5">
        <v>1745400</v>
      </c>
      <c r="H266" s="43">
        <v>0.86877183485813791</v>
      </c>
      <c r="I266" s="5">
        <v>6098800</v>
      </c>
      <c r="K266" s="43">
        <v>0.86400594022647115</v>
      </c>
      <c r="L266" s="5">
        <v>3745400</v>
      </c>
    </row>
    <row r="267" spans="1:13" hidden="1" outlineLevel="1">
      <c r="A267" t="str">
        <f>A248</f>
        <v>tax_efficient_equities</v>
      </c>
      <c r="B267" s="43">
        <f t="shared" si="30"/>
        <v>9.9601097604095599E-3</v>
      </c>
      <c r="C267" s="5">
        <f t="shared" si="31"/>
        <v>50000</v>
      </c>
      <c r="D267" s="42"/>
      <c r="E267" s="43">
        <v>2.4750943629725883E-2</v>
      </c>
      <c r="F267" s="5">
        <v>50000</v>
      </c>
      <c r="H267" s="43">
        <v>7.1224817575435981E-3</v>
      </c>
      <c r="I267" s="5">
        <v>50000</v>
      </c>
      <c r="K267" s="43">
        <v>2.4750943629725883E-2</v>
      </c>
      <c r="L267" s="5">
        <v>50000</v>
      </c>
    </row>
    <row r="268" spans="1:13" hidden="1" outlineLevel="1">
      <c r="A268" t="str">
        <f>A249</f>
        <v>multi_asset</v>
      </c>
      <c r="B268" s="43">
        <f t="shared" si="30"/>
        <v>0.37137265252663082</v>
      </c>
      <c r="C268" s="5">
        <f t="shared" si="31"/>
        <v>1864300</v>
      </c>
      <c r="D268" s="42"/>
      <c r="E268" s="43">
        <v>0.50863189159086686</v>
      </c>
      <c r="F268" s="5">
        <v>1027500</v>
      </c>
      <c r="H268" s="43">
        <v>0.52220611749958157</v>
      </c>
      <c r="I268" s="5">
        <v>3665900</v>
      </c>
      <c r="K268" s="43">
        <v>0.50863189159086686</v>
      </c>
      <c r="L268" s="5">
        <v>3027500</v>
      </c>
    </row>
    <row r="269" spans="1:13" hidden="1" outlineLevel="1">
      <c r="A269" t="str">
        <f>A250</f>
        <v>low_beta_equities</v>
      </c>
      <c r="B269" s="43">
        <f t="shared" si="30"/>
        <v>0.10157319933665669</v>
      </c>
      <c r="C269" s="5">
        <f t="shared" si="31"/>
        <v>509900</v>
      </c>
      <c r="D269" s="42"/>
      <c r="E269" s="43">
        <v>9.0835963121093988E-2</v>
      </c>
      <c r="F269" s="5">
        <v>183500</v>
      </c>
      <c r="H269" s="43">
        <v>9.3247531169760797E-2</v>
      </c>
      <c r="I269" s="5">
        <v>654600</v>
      </c>
      <c r="K269" s="43">
        <v>9.0835963121093988E-2</v>
      </c>
      <c r="L269" s="5">
        <v>183500</v>
      </c>
    </row>
    <row r="270" spans="1:13" hidden="1" outlineLevel="1">
      <c r="A270" t="str">
        <f>A251</f>
        <v>medium_beta_equities</v>
      </c>
      <c r="B270" s="43">
        <f t="shared" si="30"/>
        <v>5.3784592706211623E-2</v>
      </c>
      <c r="C270" s="5">
        <f t="shared" si="31"/>
        <v>270000</v>
      </c>
      <c r="D270" s="42"/>
      <c r="E270" s="43">
        <v>0.10900315574531279</v>
      </c>
      <c r="F270" s="5">
        <v>220200</v>
      </c>
      <c r="H270" s="43">
        <v>0.11190843337452502</v>
      </c>
      <c r="I270" s="5">
        <v>785600</v>
      </c>
      <c r="K270" s="43">
        <v>0.10900315574531279</v>
      </c>
      <c r="L270" s="5">
        <v>220200</v>
      </c>
    </row>
    <row r="271" spans="1:13" hidden="1" outlineLevel="1">
      <c r="A271" t="str">
        <f>A252</f>
        <v>high_beta_equities</v>
      </c>
      <c r="B271" s="43">
        <f t="shared" si="30"/>
        <v>0</v>
      </c>
      <c r="C271" s="5">
        <f t="shared" si="31"/>
        <v>0</v>
      </c>
      <c r="D271" s="42"/>
      <c r="E271" s="43">
        <v>0</v>
      </c>
      <c r="F271" s="5">
        <v>0</v>
      </c>
      <c r="H271" s="43">
        <v>0</v>
      </c>
      <c r="I271" s="5">
        <v>0</v>
      </c>
      <c r="K271" s="43">
        <v>0</v>
      </c>
      <c r="L271" s="5">
        <v>0</v>
      </c>
    </row>
    <row r="272" spans="1:13" hidden="1" outlineLevel="1">
      <c r="A272" t="str">
        <f>A253</f>
        <v>value_equities</v>
      </c>
      <c r="B272" s="43">
        <f t="shared" si="30"/>
        <v>0</v>
      </c>
      <c r="C272" s="5">
        <f t="shared" si="31"/>
        <v>0</v>
      </c>
      <c r="D272" s="42"/>
      <c r="E272" s="43">
        <v>0</v>
      </c>
      <c r="F272" s="5">
        <v>0</v>
      </c>
      <c r="H272" s="43">
        <v>0</v>
      </c>
      <c r="I272" s="5">
        <v>0</v>
      </c>
      <c r="K272" s="43">
        <v>0</v>
      </c>
      <c r="L272" s="5">
        <v>0</v>
      </c>
    </row>
    <row r="273" spans="1:42" hidden="1" outlineLevel="1">
      <c r="A273" t="str">
        <f>A254</f>
        <v>sector_equities</v>
      </c>
      <c r="B273" s="43">
        <f t="shared" si="30"/>
        <v>0</v>
      </c>
      <c r="C273" s="5">
        <f t="shared" si="31"/>
        <v>0</v>
      </c>
      <c r="D273" s="42"/>
      <c r="E273" s="43">
        <v>0</v>
      </c>
      <c r="F273" s="5">
        <v>0</v>
      </c>
      <c r="H273" s="43">
        <v>0</v>
      </c>
      <c r="I273" s="5">
        <v>0</v>
      </c>
      <c r="K273" s="43">
        <v>0</v>
      </c>
      <c r="L273" s="5">
        <v>0</v>
      </c>
    </row>
    <row r="274" spans="1:42" hidden="1" outlineLevel="1">
      <c r="A274" t="str">
        <f>A255</f>
        <v>us_equities</v>
      </c>
      <c r="B274" s="43">
        <f t="shared" si="30"/>
        <v>8.6035428110417783E-2</v>
      </c>
      <c r="C274" s="5">
        <f t="shared" si="31"/>
        <v>431900</v>
      </c>
      <c r="D274" s="42"/>
      <c r="E274" s="43">
        <v>0.13078398613947156</v>
      </c>
      <c r="F274" s="5">
        <v>264200</v>
      </c>
      <c r="H274" s="43">
        <v>0.134287271056727</v>
      </c>
      <c r="I274" s="5">
        <v>942700</v>
      </c>
      <c r="K274" s="43">
        <v>0.13078398613947156</v>
      </c>
      <c r="L274" s="5">
        <v>264200</v>
      </c>
    </row>
    <row r="275" spans="1:42" hidden="1" outlineLevel="1">
      <c r="A275" t="str">
        <f>A256</f>
        <v>gold_commodities</v>
      </c>
      <c r="B275" s="43">
        <f t="shared" si="30"/>
        <v>5.9481775489165889E-2</v>
      </c>
      <c r="C275" s="5">
        <f t="shared" si="31"/>
        <v>298600</v>
      </c>
      <c r="D275" s="42"/>
      <c r="E275" s="43">
        <v>4.5789245714992884E-2</v>
      </c>
      <c r="F275" s="5">
        <v>92500</v>
      </c>
      <c r="H275" s="43">
        <v>4.4401551276526792E-2</v>
      </c>
      <c r="I275" s="5">
        <v>311700</v>
      </c>
      <c r="K275" s="43">
        <v>4.5789245714992884E-2</v>
      </c>
      <c r="L275" s="5">
        <v>92500</v>
      </c>
    </row>
    <row r="276" spans="1:42" hidden="1" outlineLevel="1">
      <c r="D276" s="42"/>
    </row>
    <row r="277" spans="1:42" hidden="1" outlineLevel="1"/>
    <row r="278" spans="1:42" collapsed="1"/>
    <row r="279" spans="1:42">
      <c r="A279" s="2" t="s">
        <v>194</v>
      </c>
      <c r="B279" s="2"/>
      <c r="C279" s="2"/>
      <c r="D279" s="2"/>
      <c r="E279" s="2"/>
      <c r="F279" s="2"/>
      <c r="G279" s="2"/>
      <c r="H279" s="2"/>
      <c r="I279" s="2"/>
      <c r="J279" s="2"/>
      <c r="K279" s="2"/>
    </row>
    <row r="280" spans="1:42">
      <c r="A280" s="44" t="s">
        <v>179</v>
      </c>
      <c r="B280" s="45">
        <v>20</v>
      </c>
      <c r="C280" s="44" t="s">
        <v>180</v>
      </c>
    </row>
    <row r="281" spans="1:42">
      <c r="A281" s="44" t="s">
        <v>181</v>
      </c>
      <c r="B281" s="45">
        <v>10</v>
      </c>
      <c r="C281" s="44" t="s">
        <v>180</v>
      </c>
    </row>
    <row r="282" spans="1:42">
      <c r="A282" s="44" t="s">
        <v>195</v>
      </c>
      <c r="B282" s="50">
        <v>0.1</v>
      </c>
      <c r="C282" s="44"/>
    </row>
    <row r="283" spans="1:42">
      <c r="A283" s="44" t="s">
        <v>196</v>
      </c>
      <c r="B283" s="45">
        <v>5</v>
      </c>
      <c r="C283" s="44"/>
      <c r="O283" s="38">
        <f>M286/L286</f>
        <v>0.4379582628313588</v>
      </c>
      <c r="P283" t="b">
        <f>IF(ABS(M286/L286)&lt;$B$282,TRUE,FALSE)</f>
        <v>0</v>
      </c>
    </row>
    <row r="285" spans="1:42">
      <c r="A285" t="str">
        <f>Table!P1</f>
        <v>asset_subgroup</v>
      </c>
      <c r="B285" t="str">
        <f>Table!Q1</f>
        <v>sub_category</v>
      </c>
      <c r="C285" t="str">
        <f>Table!R1</f>
        <v>recommended_fund</v>
      </c>
      <c r="D285" t="str">
        <f>Table!S1</f>
        <v>isin</v>
      </c>
      <c r="E285" t="str">
        <f>Table!T1</f>
        <v>Rank</v>
      </c>
      <c r="F285" t="s">
        <v>128</v>
      </c>
      <c r="G285" t="s">
        <v>182</v>
      </c>
      <c r="H285" t="s">
        <v>183</v>
      </c>
      <c r="I285" t="s">
        <v>184</v>
      </c>
      <c r="J285" t="s">
        <v>185</v>
      </c>
      <c r="K285" t="s">
        <v>186</v>
      </c>
      <c r="L285" t="s">
        <v>189</v>
      </c>
      <c r="M285" t="s">
        <v>190</v>
      </c>
      <c r="N285" t="s">
        <v>197</v>
      </c>
      <c r="O285" t="s">
        <v>198</v>
      </c>
      <c r="P285" t="s">
        <v>199</v>
      </c>
      <c r="Q285" t="s">
        <v>200</v>
      </c>
      <c r="R285" t="s">
        <v>190</v>
      </c>
      <c r="S285" t="s">
        <v>201</v>
      </c>
      <c r="T285" t="s">
        <v>202</v>
      </c>
      <c r="U285" t="s">
        <v>203</v>
      </c>
      <c r="V285" t="s">
        <v>204</v>
      </c>
      <c r="W285" t="s">
        <v>205</v>
      </c>
      <c r="X285" t="s">
        <v>206</v>
      </c>
      <c r="Y285" t="s">
        <v>207</v>
      </c>
      <c r="Z285" t="s">
        <v>208</v>
      </c>
      <c r="AA285" t="s">
        <v>209</v>
      </c>
      <c r="AB285" t="s">
        <v>210</v>
      </c>
      <c r="AC285" t="s">
        <v>211</v>
      </c>
      <c r="AD285" t="s">
        <v>212</v>
      </c>
      <c r="AE285" t="s">
        <v>213</v>
      </c>
      <c r="AF285" t="s">
        <v>214</v>
      </c>
      <c r="AG285" t="s">
        <v>215</v>
      </c>
      <c r="AH285" t="s">
        <v>216</v>
      </c>
      <c r="AI285" t="s">
        <v>217</v>
      </c>
      <c r="AJ285" t="s">
        <v>218</v>
      </c>
      <c r="AK285" t="s">
        <v>219</v>
      </c>
      <c r="AL285" t="s">
        <v>220</v>
      </c>
      <c r="AM285" t="s">
        <v>221</v>
      </c>
      <c r="AN285" t="s">
        <v>222</v>
      </c>
      <c r="AO285" t="s">
        <v>210</v>
      </c>
      <c r="AP285" t="s">
        <v>223</v>
      </c>
    </row>
    <row r="286" spans="1:42" hidden="1" outlineLevel="1">
      <c r="A286" t="str">
        <f>Table!P2</f>
        <v>low_beta_equities</v>
      </c>
      <c r="B286" t="str">
        <f>Table!Q2</f>
        <v>Large Cap Fund</v>
      </c>
      <c r="C286" t="str">
        <f>Table!R2</f>
        <v>Nippon India Large Cap Fund - Growth Plan - Growth Option</v>
      </c>
      <c r="D286" t="str">
        <f>Table!S2</f>
        <v>INF204K01562</v>
      </c>
      <c r="E286">
        <f>Table!T2</f>
        <v>1</v>
      </c>
      <c r="F286" s="5">
        <f>IF(E286=1,SUMIF($A$243:$A$256,A286,$F$243:$F$256),0)</f>
        <v>509900</v>
      </c>
      <c r="G286" s="4">
        <f>F286/$F$323*100</f>
        <v>6.373730082093493</v>
      </c>
      <c r="H286" s="5">
        <f>IF(A286=$A$302,$B$280,$B$281)</f>
        <v>10</v>
      </c>
      <c r="I286" s="4">
        <f>IF(E286=1,MIN(G286,H286),IF(E286=2,MAX(0,G285-H285),0))</f>
        <v>6.373730082093493</v>
      </c>
      <c r="J286" s="4">
        <f>IF(E286=2,MIN(I286,H286),IF(E286=3,MAX(0,I285-H285),I286))</f>
        <v>6.373730082093493</v>
      </c>
      <c r="K286" s="38">
        <f>J286*$F$257/100</f>
        <v>509900</v>
      </c>
      <c r="L286">
        <f>Allocation!K286-L322</f>
        <v>354600.00000000012</v>
      </c>
      <c r="M286" s="38">
        <f>K286-L286</f>
        <v>155299.99999999988</v>
      </c>
      <c r="N286" t="b">
        <f>IFERROR(IF(M286/MAX(L286,K286)=-1,TRUE,FALSE), "")</f>
        <v>0</v>
      </c>
      <c r="O286">
        <v>10</v>
      </c>
      <c r="P286" t="b">
        <f t="shared" ref="P286:P310" si="32">IF(N286="","",IF(M286=K286,TRUE, IF(N286=$N$286,IF(ABS(M286/L286)&gt;$B$282,TRUE,FALSE),IF(O286&lt;=5,TRUE, FALSE))))</f>
        <v>1</v>
      </c>
      <c r="Q286" s="52">
        <f>IFERROR(L286+M286*P286,0)-MIN(M286,L322)</f>
        <v>354600.00000000012</v>
      </c>
      <c r="R286" s="38">
        <f>Q286-L286</f>
        <v>0</v>
      </c>
      <c r="S286">
        <v>0</v>
      </c>
      <c r="T286">
        <v>-87</v>
      </c>
      <c r="U286">
        <v>190950</v>
      </c>
      <c r="V286">
        <v>5357</v>
      </c>
      <c r="W286">
        <f>L286-U286</f>
        <v>163650.00000000012</v>
      </c>
      <c r="X286" s="38">
        <f>MAX(0,R286)</f>
        <v>0</v>
      </c>
      <c r="Y286">
        <f>IF(M286&gt;0,M286-X286,0)</f>
        <v>155299.99999999988</v>
      </c>
      <c r="Z286">
        <f>IF(R286&lt;0,MIN(ABS(R286),L286-MAX(S286,IF(T286&gt;0,U286,0))),0)</f>
        <v>0</v>
      </c>
      <c r="AA286">
        <f>IF(M286&lt;0,ABS(M286)-Z286,0)</f>
        <v>0</v>
      </c>
      <c r="AB286" s="5">
        <f>($AA$323-$Y$323)*X286/$X$323</f>
        <v>0</v>
      </c>
      <c r="AC286" s="5">
        <f>L286+X286-Z286-AB286</f>
        <v>354600.00000000012</v>
      </c>
      <c r="AD286" s="5">
        <f>MIN(Z286,W286)</f>
        <v>0</v>
      </c>
      <c r="AE286" s="10">
        <f>IFERROR(AD286/W286*V286,0)</f>
        <v>0</v>
      </c>
      <c r="AF286" s="10">
        <f>Z286-AD286</f>
        <v>0</v>
      </c>
      <c r="AG286">
        <f>AF286/$AF$323*T286</f>
        <v>0</v>
      </c>
      <c r="AH286" s="9"/>
      <c r="AI286">
        <f>IF(R286&lt;0,MIN(ABS(R286),L286-S286),0)</f>
        <v>0</v>
      </c>
      <c r="AJ286">
        <f>AI286-Z286</f>
        <v>0</v>
      </c>
      <c r="AK286" s="5">
        <f>IFERROR(AJ286/U286*T286,0)</f>
        <v>0</v>
      </c>
      <c r="AL286" s="5">
        <f>AK286/$AK$323*$AL$323</f>
        <v>0</v>
      </c>
      <c r="AM286">
        <f>Z286+IFERROR(AJ286*AL286/AK286,0)</f>
        <v>0</v>
      </c>
      <c r="AN286">
        <f>IF(M286&lt;0,ABS(M286)-AM286,0)</f>
        <v>0</v>
      </c>
      <c r="AO286" s="38">
        <f>MAX(0,($AN$323-$Y$323))*X286/$X$323</f>
        <v>0</v>
      </c>
      <c r="AP286" s="38">
        <f>L286+X286-AM286-AO286</f>
        <v>354600.00000000012</v>
      </c>
    </row>
    <row r="287" spans="1:42" hidden="1" outlineLevel="1">
      <c r="A287" t="str">
        <f>Table!P3</f>
        <v>low_beta_equities</v>
      </c>
      <c r="B287" t="str">
        <f>Table!Q3</f>
        <v>Large Cap Fund</v>
      </c>
      <c r="C287" t="str">
        <f>Table!R3</f>
        <v>Large Cap Fund_2</v>
      </c>
      <c r="D287">
        <f>Table!S3</f>
        <v>0</v>
      </c>
      <c r="E287">
        <f>Table!T3</f>
        <v>2</v>
      </c>
      <c r="F287" s="5">
        <f t="shared" ref="F287:F321" si="33">IF(E287=1,SUMIF($A$243:$A$256,A287,$F$243:$F$256),0)</f>
        <v>0</v>
      </c>
      <c r="G287" s="4">
        <f>F287/$F$323*100</f>
        <v>0</v>
      </c>
      <c r="H287" s="5">
        <f t="shared" ref="H287:H321" si="34">IF(A287=$A$302,$B$280,$B$281)</f>
        <v>10</v>
      </c>
      <c r="I287" s="4">
        <f t="shared" ref="I287:I321" si="35">IF(E287=1,MIN(G287,H287),IF(E287=2,MAX(0,G286-H286),0))</f>
        <v>0</v>
      </c>
      <c r="J287" s="4">
        <f t="shared" ref="J287:J321" si="36">IF(E287=2,MIN(I287,H287),IF(E287=3,MAX(0,I286-H286),I287))</f>
        <v>0</v>
      </c>
      <c r="K287" s="38">
        <f t="shared" ref="K287:K321" si="37">J287*$F$257/100</f>
        <v>0</v>
      </c>
      <c r="L287">
        <f>Allocation!K287</f>
        <v>0</v>
      </c>
      <c r="M287" s="38">
        <f t="shared" ref="M287:M321" si="38">K287-L287</f>
        <v>0</v>
      </c>
      <c r="N287" t="str">
        <f t="shared" ref="N287:N322" si="39">IFERROR(IF(M287/MAX(L287,K287)=-1,TRUE,FALSE), "")</f>
        <v/>
      </c>
      <c r="O287">
        <v>8</v>
      </c>
      <c r="P287" t="str">
        <f t="shared" si="32"/>
        <v/>
      </c>
      <c r="Q287" s="38">
        <f t="shared" ref="Q287:Q321" si="40">IFERROR(L287+M287*P287,0)</f>
        <v>0</v>
      </c>
      <c r="R287" s="38">
        <f t="shared" ref="R287:R322" si="41">Q287-L287</f>
        <v>0</v>
      </c>
      <c r="S287">
        <v>0</v>
      </c>
      <c r="T287">
        <v>0</v>
      </c>
      <c r="U287">
        <v>0</v>
      </c>
      <c r="V287">
        <v>0</v>
      </c>
      <c r="W287">
        <f t="shared" ref="W287:W322" si="42">L287-U287</f>
        <v>0</v>
      </c>
      <c r="X287" s="38">
        <f>MAX(0,R287)</f>
        <v>0</v>
      </c>
      <c r="Y287">
        <f>IF(M287&gt;0,M287-X287,0)</f>
        <v>0</v>
      </c>
      <c r="Z287">
        <f>IF(R287&lt;0,MIN(ABS(R287),L287-MAX(S287,IF(T287&gt;0,U287,0))),0)</f>
        <v>0</v>
      </c>
      <c r="AA287">
        <f>IF(M287&lt;0,ABS(M287)-Z287,0)</f>
        <v>0</v>
      </c>
      <c r="AB287" s="5">
        <f>($AA$323-$Y$323)*X287/$X$323</f>
        <v>0</v>
      </c>
      <c r="AC287" s="5">
        <f>L287+X287-Z287-AB287</f>
        <v>0</v>
      </c>
      <c r="AD287" s="5">
        <f t="shared" ref="AD287:AD322" si="43">MIN(Z287,W287)</f>
        <v>0</v>
      </c>
      <c r="AE287" s="10">
        <f t="shared" ref="AE287:AE322" si="44">IFERROR(AD287/W287*V287,0)</f>
        <v>0</v>
      </c>
      <c r="AF287" s="10">
        <f t="shared" ref="AF287:AF322" si="45">Z287-AD287</f>
        <v>0</v>
      </c>
      <c r="AG287">
        <f t="shared" ref="AG287:AG322" si="46">AF287/$AF$323*T287</f>
        <v>0</v>
      </c>
      <c r="AH287" s="9"/>
      <c r="AI287">
        <f t="shared" ref="AI287:AI322" si="47">IF(R287&lt;0,MIN(ABS(R287),L287-S287),0)</f>
        <v>0</v>
      </c>
      <c r="AJ287">
        <f t="shared" ref="AJ287:AJ322" si="48">AI287-Z287</f>
        <v>0</v>
      </c>
      <c r="AK287" s="5">
        <f t="shared" ref="AK287:AK322" si="49">IFERROR(AJ287/U287*T287,0)</f>
        <v>0</v>
      </c>
      <c r="AL287" s="5">
        <f t="shared" ref="AL287:AL322" si="50">AK287/$AK$323*$AL$323</f>
        <v>0</v>
      </c>
      <c r="AM287">
        <f t="shared" ref="AM287:AM322" si="51">Z287+IFERROR(AJ287*AL287/AK287,0)</f>
        <v>0</v>
      </c>
      <c r="AN287">
        <f t="shared" ref="AN287:AN322" si="52">IF(M287&lt;0,ABS(M287)-AM287,0)</f>
        <v>0</v>
      </c>
      <c r="AO287" s="38">
        <f t="shared" ref="AO287:AO322" si="53">MAX(0,($AN$323-$Y$323))*X287/$X$323</f>
        <v>0</v>
      </c>
      <c r="AP287" s="38">
        <f t="shared" ref="AP287:AP322" si="54">L287+X287-AM287-AO287</f>
        <v>0</v>
      </c>
    </row>
    <row r="288" spans="1:42" hidden="1" outlineLevel="1">
      <c r="A288" t="str">
        <f>Table!P4</f>
        <v>medium_beta_equities</v>
      </c>
      <c r="B288" t="str">
        <f>Table!Q4</f>
        <v>Flexi Cap Fund</v>
      </c>
      <c r="C288" t="str">
        <f>Table!R4</f>
        <v>Parag Parikh Flexi Cap Fund - Direct Plan - Growth</v>
      </c>
      <c r="D288" t="str">
        <f>Table!S4</f>
        <v>INF879O01027</v>
      </c>
      <c r="E288">
        <f>Table!T4</f>
        <v>1</v>
      </c>
      <c r="F288" s="5">
        <f t="shared" si="33"/>
        <v>270000</v>
      </c>
      <c r="G288" s="4">
        <f>F288/$F$323*100</f>
        <v>3.374989453157959</v>
      </c>
      <c r="H288" s="5">
        <f t="shared" si="34"/>
        <v>10</v>
      </c>
      <c r="I288" s="4">
        <f t="shared" si="35"/>
        <v>3.374989453157959</v>
      </c>
      <c r="J288" s="4">
        <f t="shared" si="36"/>
        <v>3.374989453157959</v>
      </c>
      <c r="K288" s="38">
        <f t="shared" si="37"/>
        <v>270000</v>
      </c>
      <c r="L288">
        <f>Allocation!K288</f>
        <v>785600</v>
      </c>
      <c r="M288" s="38">
        <f t="shared" si="38"/>
        <v>-515600</v>
      </c>
      <c r="N288" t="b">
        <f t="shared" si="39"/>
        <v>0</v>
      </c>
      <c r="O288">
        <v>10</v>
      </c>
      <c r="P288" t="b">
        <f t="shared" si="32"/>
        <v>1</v>
      </c>
      <c r="Q288" s="38">
        <f t="shared" si="40"/>
        <v>270000</v>
      </c>
      <c r="R288" s="38">
        <f t="shared" si="41"/>
        <v>-515600</v>
      </c>
      <c r="S288">
        <v>0</v>
      </c>
      <c r="T288">
        <v>2000</v>
      </c>
      <c r="U288">
        <v>565632</v>
      </c>
      <c r="V288">
        <v>-6515</v>
      </c>
      <c r="W288">
        <f t="shared" si="42"/>
        <v>219968</v>
      </c>
      <c r="X288" s="38">
        <f>MAX(0,R288)</f>
        <v>0</v>
      </c>
      <c r="Y288">
        <f>IF(M288&gt;0,M288-X288,0)</f>
        <v>0</v>
      </c>
      <c r="Z288">
        <f>IF(R288&lt;0,MIN(ABS(R288),L288-MAX(S288,IF(T288&gt;0,U288,0))),0)</f>
        <v>219968</v>
      </c>
      <c r="AA288">
        <f>IF(M288&lt;0,ABS(M288)-Z288,0)</f>
        <v>295632</v>
      </c>
      <c r="AB288" s="5">
        <f>($AA$323-$Y$323)*X288/$X$323</f>
        <v>0</v>
      </c>
      <c r="AC288" s="5">
        <f>L288+X288-Z288-AB288</f>
        <v>565632</v>
      </c>
      <c r="AD288" s="5">
        <f t="shared" si="43"/>
        <v>219968</v>
      </c>
      <c r="AE288" s="10">
        <f t="shared" si="44"/>
        <v>-6515</v>
      </c>
      <c r="AF288" s="10">
        <f t="shared" si="45"/>
        <v>0</v>
      </c>
      <c r="AG288">
        <f t="shared" si="46"/>
        <v>0</v>
      </c>
      <c r="AH288" s="9"/>
      <c r="AI288">
        <f t="shared" si="47"/>
        <v>515600</v>
      </c>
      <c r="AJ288">
        <f t="shared" si="48"/>
        <v>295632</v>
      </c>
      <c r="AK288" s="5">
        <f t="shared" si="49"/>
        <v>1045.315682281059</v>
      </c>
      <c r="AL288" s="5">
        <f t="shared" si="50"/>
        <v>1045.315682281059</v>
      </c>
      <c r="AM288">
        <f t="shared" si="51"/>
        <v>515600</v>
      </c>
      <c r="AN288">
        <f t="shared" si="52"/>
        <v>0</v>
      </c>
      <c r="AO288" s="38">
        <f t="shared" si="53"/>
        <v>0</v>
      </c>
      <c r="AP288" s="38">
        <f t="shared" si="54"/>
        <v>270000</v>
      </c>
    </row>
    <row r="289" spans="1:42" hidden="1" outlineLevel="1">
      <c r="A289" t="str">
        <f>Table!P5</f>
        <v>medium_beta_equities</v>
      </c>
      <c r="B289" t="str">
        <f>Table!Q5</f>
        <v>Flexi Cap Fund</v>
      </c>
      <c r="C289" t="str">
        <f>Table!R5</f>
        <v>Flexi Cap Fund_2</v>
      </c>
      <c r="D289">
        <f>Table!S5</f>
        <v>0</v>
      </c>
      <c r="E289">
        <f>Table!T5</f>
        <v>2</v>
      </c>
      <c r="F289" s="5">
        <f t="shared" si="33"/>
        <v>0</v>
      </c>
      <c r="G289" s="4">
        <f>F289/$F$323*100</f>
        <v>0</v>
      </c>
      <c r="H289" s="5">
        <f t="shared" si="34"/>
        <v>10</v>
      </c>
      <c r="I289" s="4">
        <f t="shared" si="35"/>
        <v>0</v>
      </c>
      <c r="J289" s="4">
        <f t="shared" si="36"/>
        <v>0</v>
      </c>
      <c r="K289" s="38">
        <f t="shared" si="37"/>
        <v>0</v>
      </c>
      <c r="L289">
        <f>Allocation!K289</f>
        <v>0</v>
      </c>
      <c r="M289" s="38">
        <f t="shared" si="38"/>
        <v>0</v>
      </c>
      <c r="N289" t="str">
        <f t="shared" si="39"/>
        <v/>
      </c>
      <c r="O289">
        <v>9</v>
      </c>
      <c r="P289" t="str">
        <f t="shared" si="32"/>
        <v/>
      </c>
      <c r="Q289" s="38">
        <f t="shared" si="40"/>
        <v>0</v>
      </c>
      <c r="R289" s="38">
        <f t="shared" si="41"/>
        <v>0</v>
      </c>
      <c r="S289">
        <v>0</v>
      </c>
      <c r="T289">
        <v>0</v>
      </c>
      <c r="U289">
        <v>0</v>
      </c>
      <c r="V289">
        <v>0</v>
      </c>
      <c r="W289">
        <f t="shared" si="42"/>
        <v>0</v>
      </c>
      <c r="X289" s="38">
        <f>MAX(0,R289)</f>
        <v>0</v>
      </c>
      <c r="Y289">
        <f>IF(M289&gt;0,M289-X289,0)</f>
        <v>0</v>
      </c>
      <c r="Z289">
        <f>IF(R289&lt;0,MIN(ABS(R289),L289-MAX(S289,IF(T289&gt;0,U289,0))),0)</f>
        <v>0</v>
      </c>
      <c r="AA289">
        <f>IF(M289&lt;0,ABS(M289)-Z289,0)</f>
        <v>0</v>
      </c>
      <c r="AB289" s="5">
        <f>($AA$323-$Y$323)*X289/$X$323</f>
        <v>0</v>
      </c>
      <c r="AC289" s="5">
        <f>L289+X289-Z289-AB289</f>
        <v>0</v>
      </c>
      <c r="AD289" s="5">
        <f t="shared" si="43"/>
        <v>0</v>
      </c>
      <c r="AE289" s="10">
        <f t="shared" si="44"/>
        <v>0</v>
      </c>
      <c r="AF289" s="10">
        <f t="shared" si="45"/>
        <v>0</v>
      </c>
      <c r="AG289">
        <f t="shared" si="46"/>
        <v>0</v>
      </c>
      <c r="AH289" s="9"/>
      <c r="AI289">
        <f t="shared" si="47"/>
        <v>0</v>
      </c>
      <c r="AJ289">
        <f t="shared" si="48"/>
        <v>0</v>
      </c>
      <c r="AK289" s="5">
        <f t="shared" si="49"/>
        <v>0</v>
      </c>
      <c r="AL289" s="5">
        <f t="shared" si="50"/>
        <v>0</v>
      </c>
      <c r="AM289">
        <f t="shared" si="51"/>
        <v>0</v>
      </c>
      <c r="AN289">
        <f t="shared" si="52"/>
        <v>0</v>
      </c>
      <c r="AO289" s="38">
        <f t="shared" si="53"/>
        <v>0</v>
      </c>
      <c r="AP289" s="38">
        <f t="shared" si="54"/>
        <v>0</v>
      </c>
    </row>
    <row r="290" spans="1:42" hidden="1" outlineLevel="1">
      <c r="A290" t="str">
        <f>Table!P6</f>
        <v>high_beta_equities</v>
      </c>
      <c r="B290" t="str">
        <f>Table!Q6</f>
        <v>Small Cap Fund</v>
      </c>
      <c r="C290" t="str">
        <f>Table!R6</f>
        <v>Nippon India Small Cap Fund - Growth Plan - Growth Option</v>
      </c>
      <c r="D290" t="str">
        <f>Table!S6</f>
        <v>INF204K01HY3</v>
      </c>
      <c r="E290">
        <f>Table!T6</f>
        <v>1</v>
      </c>
      <c r="F290" s="5">
        <f t="shared" si="33"/>
        <v>0</v>
      </c>
      <c r="G290" s="4">
        <f>F290/$F$323*100</f>
        <v>0</v>
      </c>
      <c r="H290" s="5">
        <f t="shared" si="34"/>
        <v>10</v>
      </c>
      <c r="I290" s="4">
        <f t="shared" si="35"/>
        <v>0</v>
      </c>
      <c r="J290" s="4">
        <f t="shared" si="36"/>
        <v>0</v>
      </c>
      <c r="K290" s="38">
        <f t="shared" si="37"/>
        <v>0</v>
      </c>
      <c r="L290">
        <f>Allocation!K290</f>
        <v>0</v>
      </c>
      <c r="M290" s="38">
        <f t="shared" si="38"/>
        <v>0</v>
      </c>
      <c r="N290" t="str">
        <f t="shared" si="39"/>
        <v/>
      </c>
      <c r="O290">
        <v>8</v>
      </c>
      <c r="P290" t="str">
        <f t="shared" si="32"/>
        <v/>
      </c>
      <c r="Q290" s="38">
        <f t="shared" si="40"/>
        <v>0</v>
      </c>
      <c r="R290" s="38">
        <f t="shared" si="41"/>
        <v>0</v>
      </c>
      <c r="S290">
        <v>0</v>
      </c>
      <c r="T290">
        <v>0</v>
      </c>
      <c r="U290">
        <v>0</v>
      </c>
      <c r="V290">
        <v>0</v>
      </c>
      <c r="W290">
        <f t="shared" si="42"/>
        <v>0</v>
      </c>
      <c r="X290" s="38">
        <f>MAX(0,R290)</f>
        <v>0</v>
      </c>
      <c r="Y290">
        <f>IF(M290&gt;0,M290-X290,0)</f>
        <v>0</v>
      </c>
      <c r="Z290">
        <f>IF(R290&lt;0,MIN(ABS(R290),L290-MAX(S290,IF(T290&gt;0,U290,0))),0)</f>
        <v>0</v>
      </c>
      <c r="AA290">
        <f>IF(M290&lt;0,ABS(M290)-Z290,0)</f>
        <v>0</v>
      </c>
      <c r="AB290" s="5">
        <f>($AA$323-$Y$323)*X290/$X$323</f>
        <v>0</v>
      </c>
      <c r="AC290" s="5">
        <f>L290+X290-Z290-AB290</f>
        <v>0</v>
      </c>
      <c r="AD290" s="5">
        <f t="shared" si="43"/>
        <v>0</v>
      </c>
      <c r="AE290" s="10">
        <f t="shared" si="44"/>
        <v>0</v>
      </c>
      <c r="AF290" s="10">
        <f t="shared" si="45"/>
        <v>0</v>
      </c>
      <c r="AG290">
        <f t="shared" si="46"/>
        <v>0</v>
      </c>
      <c r="AH290" s="9"/>
      <c r="AI290">
        <f t="shared" si="47"/>
        <v>0</v>
      </c>
      <c r="AJ290">
        <f t="shared" si="48"/>
        <v>0</v>
      </c>
      <c r="AK290" s="5">
        <f t="shared" si="49"/>
        <v>0</v>
      </c>
      <c r="AL290" s="5">
        <f t="shared" si="50"/>
        <v>0</v>
      </c>
      <c r="AM290">
        <f t="shared" si="51"/>
        <v>0</v>
      </c>
      <c r="AN290">
        <f t="shared" si="52"/>
        <v>0</v>
      </c>
      <c r="AO290" s="38">
        <f t="shared" si="53"/>
        <v>0</v>
      </c>
      <c r="AP290" s="38">
        <f t="shared" si="54"/>
        <v>0</v>
      </c>
    </row>
    <row r="291" spans="1:42" hidden="1" outlineLevel="1">
      <c r="A291" t="str">
        <f>Table!P7</f>
        <v>high_beta_equities</v>
      </c>
      <c r="B291" t="str">
        <f>Table!Q7</f>
        <v>Small Cap Fund</v>
      </c>
      <c r="C291" t="str">
        <f>Table!R7</f>
        <v>Small Cap Fund_2</v>
      </c>
      <c r="D291">
        <f>Table!S7</f>
        <v>0</v>
      </c>
      <c r="E291">
        <f>Table!T7</f>
        <v>2</v>
      </c>
      <c r="F291" s="5">
        <f t="shared" si="33"/>
        <v>0</v>
      </c>
      <c r="G291" s="4">
        <f>F291/$F$323*100</f>
        <v>0</v>
      </c>
      <c r="H291" s="5">
        <f t="shared" si="34"/>
        <v>10</v>
      </c>
      <c r="I291" s="4">
        <f t="shared" si="35"/>
        <v>0</v>
      </c>
      <c r="J291" s="4">
        <f t="shared" si="36"/>
        <v>0</v>
      </c>
      <c r="K291" s="38">
        <f t="shared" si="37"/>
        <v>0</v>
      </c>
      <c r="L291">
        <f>Allocation!K291</f>
        <v>0</v>
      </c>
      <c r="M291" s="38">
        <f t="shared" si="38"/>
        <v>0</v>
      </c>
      <c r="N291" t="str">
        <f t="shared" si="39"/>
        <v/>
      </c>
      <c r="O291">
        <v>10</v>
      </c>
      <c r="P291" t="str">
        <f t="shared" si="32"/>
        <v/>
      </c>
      <c r="Q291" s="38">
        <f t="shared" si="40"/>
        <v>0</v>
      </c>
      <c r="R291" s="38">
        <f t="shared" si="41"/>
        <v>0</v>
      </c>
      <c r="S291">
        <v>0</v>
      </c>
      <c r="T291">
        <v>0</v>
      </c>
      <c r="U291">
        <v>0</v>
      </c>
      <c r="V291">
        <v>0</v>
      </c>
      <c r="W291">
        <f t="shared" si="42"/>
        <v>0</v>
      </c>
      <c r="X291" s="38">
        <f>MAX(0,R291)</f>
        <v>0</v>
      </c>
      <c r="Y291">
        <f>IF(M291&gt;0,M291-X291,0)</f>
        <v>0</v>
      </c>
      <c r="Z291">
        <f>IF(R291&lt;0,MIN(ABS(R291),L291-MAX(S291,IF(T291&gt;0,U291,0))),0)</f>
        <v>0</v>
      </c>
      <c r="AA291">
        <f>IF(M291&lt;0,ABS(M291)-Z291,0)</f>
        <v>0</v>
      </c>
      <c r="AB291" s="5">
        <f>($AA$323-$Y$323)*X291/$X$323</f>
        <v>0</v>
      </c>
      <c r="AC291" s="5">
        <f>L291+X291-Z291-AB291</f>
        <v>0</v>
      </c>
      <c r="AD291" s="5">
        <f t="shared" si="43"/>
        <v>0</v>
      </c>
      <c r="AE291" s="10">
        <f t="shared" si="44"/>
        <v>0</v>
      </c>
      <c r="AF291" s="10">
        <f t="shared" si="45"/>
        <v>0</v>
      </c>
      <c r="AG291">
        <f t="shared" si="46"/>
        <v>0</v>
      </c>
      <c r="AH291" s="9"/>
      <c r="AI291">
        <f t="shared" si="47"/>
        <v>0</v>
      </c>
      <c r="AJ291">
        <f t="shared" si="48"/>
        <v>0</v>
      </c>
      <c r="AK291" s="5">
        <f t="shared" si="49"/>
        <v>0</v>
      </c>
      <c r="AL291" s="5">
        <f t="shared" si="50"/>
        <v>0</v>
      </c>
      <c r="AM291">
        <f t="shared" si="51"/>
        <v>0</v>
      </c>
      <c r="AN291">
        <f t="shared" si="52"/>
        <v>0</v>
      </c>
      <c r="AO291" s="38">
        <f t="shared" si="53"/>
        <v>0</v>
      </c>
      <c r="AP291" s="38">
        <f t="shared" si="54"/>
        <v>0</v>
      </c>
    </row>
    <row r="292" spans="1:42" hidden="1" outlineLevel="1">
      <c r="A292" t="str">
        <f>Table!P8</f>
        <v>value_equities</v>
      </c>
      <c r="B292" t="str">
        <f>Table!Q8</f>
        <v>Contra Fund</v>
      </c>
      <c r="C292" t="str">
        <f>Table!R8</f>
        <v>SBI Contra Fund - Direct Plan - Growth</v>
      </c>
      <c r="D292" t="str">
        <f>Table!S8</f>
        <v>INF200K01RA0</v>
      </c>
      <c r="E292">
        <f>Table!T8</f>
        <v>1</v>
      </c>
      <c r="F292" s="5">
        <f t="shared" si="33"/>
        <v>0</v>
      </c>
      <c r="G292" s="4">
        <f>F292/$F$323*100</f>
        <v>0</v>
      </c>
      <c r="H292" s="5">
        <f t="shared" si="34"/>
        <v>10</v>
      </c>
      <c r="I292" s="4">
        <f t="shared" si="35"/>
        <v>0</v>
      </c>
      <c r="J292" s="4">
        <f t="shared" si="36"/>
        <v>0</v>
      </c>
      <c r="K292" s="38">
        <f t="shared" si="37"/>
        <v>0</v>
      </c>
      <c r="L292">
        <f>Allocation!K292</f>
        <v>0</v>
      </c>
      <c r="M292" s="38">
        <f t="shared" si="38"/>
        <v>0</v>
      </c>
      <c r="N292" t="str">
        <f t="shared" si="39"/>
        <v/>
      </c>
      <c r="O292">
        <v>10</v>
      </c>
      <c r="P292" t="str">
        <f t="shared" si="32"/>
        <v/>
      </c>
      <c r="Q292" s="38">
        <f t="shared" si="40"/>
        <v>0</v>
      </c>
      <c r="R292" s="38">
        <f t="shared" si="41"/>
        <v>0</v>
      </c>
      <c r="S292">
        <v>0</v>
      </c>
      <c r="T292">
        <v>0</v>
      </c>
      <c r="U292">
        <v>0</v>
      </c>
      <c r="V292">
        <v>0</v>
      </c>
      <c r="W292">
        <f t="shared" si="42"/>
        <v>0</v>
      </c>
      <c r="X292" s="38">
        <f>MAX(0,R292)</f>
        <v>0</v>
      </c>
      <c r="Y292">
        <f>IF(M292&gt;0,M292-X292,0)</f>
        <v>0</v>
      </c>
      <c r="Z292">
        <f>IF(R292&lt;0,MIN(ABS(R292),L292-MAX(S292,IF(T292&gt;0,U292,0))),0)</f>
        <v>0</v>
      </c>
      <c r="AA292">
        <f>IF(M292&lt;0,ABS(M292)-Z292,0)</f>
        <v>0</v>
      </c>
      <c r="AB292" s="5">
        <f>($AA$323-$Y$323)*X292/$X$323</f>
        <v>0</v>
      </c>
      <c r="AC292" s="5">
        <f>L292+X292-Z292-AB292</f>
        <v>0</v>
      </c>
      <c r="AD292" s="5">
        <f t="shared" si="43"/>
        <v>0</v>
      </c>
      <c r="AE292" s="10">
        <f t="shared" si="44"/>
        <v>0</v>
      </c>
      <c r="AF292" s="10">
        <f t="shared" si="45"/>
        <v>0</v>
      </c>
      <c r="AG292">
        <f t="shared" si="46"/>
        <v>0</v>
      </c>
      <c r="AH292" s="9"/>
      <c r="AI292">
        <f t="shared" si="47"/>
        <v>0</v>
      </c>
      <c r="AJ292">
        <f t="shared" si="48"/>
        <v>0</v>
      </c>
      <c r="AK292" s="5">
        <f t="shared" si="49"/>
        <v>0</v>
      </c>
      <c r="AL292" s="5">
        <f t="shared" si="50"/>
        <v>0</v>
      </c>
      <c r="AM292">
        <f t="shared" si="51"/>
        <v>0</v>
      </c>
      <c r="AN292">
        <f t="shared" si="52"/>
        <v>0</v>
      </c>
      <c r="AO292" s="38">
        <f t="shared" si="53"/>
        <v>0</v>
      </c>
      <c r="AP292" s="38">
        <f t="shared" si="54"/>
        <v>0</v>
      </c>
    </row>
    <row r="293" spans="1:42" hidden="1" outlineLevel="1">
      <c r="A293" t="str">
        <f>Table!P9</f>
        <v>value_equities</v>
      </c>
      <c r="B293" t="str">
        <f>Table!Q9</f>
        <v>Contra Fund</v>
      </c>
      <c r="C293" t="str">
        <f>Table!R9</f>
        <v>Contra Fund_2</v>
      </c>
      <c r="D293">
        <f>Table!S9</f>
        <v>0</v>
      </c>
      <c r="E293">
        <f>Table!T9</f>
        <v>2</v>
      </c>
      <c r="F293" s="5">
        <f t="shared" si="33"/>
        <v>0</v>
      </c>
      <c r="G293" s="4">
        <f>F293/$F$323*100</f>
        <v>0</v>
      </c>
      <c r="H293" s="5">
        <f t="shared" si="34"/>
        <v>10</v>
      </c>
      <c r="I293" s="4">
        <f t="shared" si="35"/>
        <v>0</v>
      </c>
      <c r="J293" s="4">
        <f t="shared" si="36"/>
        <v>0</v>
      </c>
      <c r="K293" s="38">
        <f t="shared" si="37"/>
        <v>0</v>
      </c>
      <c r="L293">
        <f>Allocation!K293</f>
        <v>0</v>
      </c>
      <c r="M293" s="38">
        <f t="shared" si="38"/>
        <v>0</v>
      </c>
      <c r="N293" t="str">
        <f t="shared" si="39"/>
        <v/>
      </c>
      <c r="O293">
        <v>9</v>
      </c>
      <c r="P293" t="str">
        <f t="shared" si="32"/>
        <v/>
      </c>
      <c r="Q293" s="38">
        <f t="shared" si="40"/>
        <v>0</v>
      </c>
      <c r="R293" s="38">
        <f t="shared" si="41"/>
        <v>0</v>
      </c>
      <c r="S293">
        <v>0</v>
      </c>
      <c r="T293">
        <v>0</v>
      </c>
      <c r="U293">
        <v>0</v>
      </c>
      <c r="V293">
        <v>0</v>
      </c>
      <c r="W293">
        <f t="shared" si="42"/>
        <v>0</v>
      </c>
      <c r="X293" s="38">
        <f>MAX(0,R293)</f>
        <v>0</v>
      </c>
      <c r="Y293">
        <f>IF(M293&gt;0,M293-X293,0)</f>
        <v>0</v>
      </c>
      <c r="Z293">
        <f>IF(R293&lt;0,MIN(ABS(R293),L293-MAX(S293,IF(T293&gt;0,U293,0))),0)</f>
        <v>0</v>
      </c>
      <c r="AA293">
        <f>IF(M293&lt;0,ABS(M293)-Z293,0)</f>
        <v>0</v>
      </c>
      <c r="AB293" s="5">
        <f>($AA$323-$Y$323)*X293/$X$323</f>
        <v>0</v>
      </c>
      <c r="AC293" s="5">
        <f>L293+X293-Z293-AB293</f>
        <v>0</v>
      </c>
      <c r="AD293" s="5">
        <f t="shared" si="43"/>
        <v>0</v>
      </c>
      <c r="AE293" s="10">
        <f t="shared" si="44"/>
        <v>0</v>
      </c>
      <c r="AF293" s="10">
        <f t="shared" si="45"/>
        <v>0</v>
      </c>
      <c r="AG293">
        <f t="shared" si="46"/>
        <v>0</v>
      </c>
      <c r="AH293" s="9"/>
      <c r="AI293">
        <f t="shared" si="47"/>
        <v>0</v>
      </c>
      <c r="AJ293">
        <f t="shared" si="48"/>
        <v>0</v>
      </c>
      <c r="AK293" s="5">
        <f t="shared" si="49"/>
        <v>0</v>
      </c>
      <c r="AL293" s="5">
        <f t="shared" si="50"/>
        <v>0</v>
      </c>
      <c r="AM293">
        <f t="shared" si="51"/>
        <v>0</v>
      </c>
      <c r="AN293">
        <f t="shared" si="52"/>
        <v>0</v>
      </c>
      <c r="AO293" s="38">
        <f t="shared" si="53"/>
        <v>0</v>
      </c>
      <c r="AP293" s="38">
        <f t="shared" si="54"/>
        <v>0</v>
      </c>
    </row>
    <row r="294" spans="1:42" hidden="1" outlineLevel="1">
      <c r="A294" t="str">
        <f>Table!P10</f>
        <v>dividend_equities</v>
      </c>
      <c r="B294" t="str">
        <f>Table!Q10</f>
        <v>Dividend Yield Fund</v>
      </c>
      <c r="C294" t="str">
        <f>Table!R10</f>
        <v>ICICI Prudential Dividend Yield Equity Fund - Growth Option</v>
      </c>
      <c r="D294" t="str">
        <f>Table!S10</f>
        <v>INF109KA1TX4</v>
      </c>
      <c r="E294">
        <f>Table!T10</f>
        <v>1</v>
      </c>
      <c r="F294" s="5">
        <f t="shared" si="33"/>
        <v>0</v>
      </c>
      <c r="G294" s="4">
        <f>F294/$F$323*100</f>
        <v>0</v>
      </c>
      <c r="H294" s="5">
        <f t="shared" si="34"/>
        <v>10</v>
      </c>
      <c r="I294" s="4">
        <f t="shared" si="35"/>
        <v>0</v>
      </c>
      <c r="J294" s="4">
        <f t="shared" si="36"/>
        <v>0</v>
      </c>
      <c r="K294" s="38">
        <f t="shared" si="37"/>
        <v>0</v>
      </c>
      <c r="L294">
        <f>Allocation!K294</f>
        <v>0</v>
      </c>
      <c r="M294" s="38">
        <f t="shared" si="38"/>
        <v>0</v>
      </c>
      <c r="N294" t="str">
        <f t="shared" si="39"/>
        <v/>
      </c>
      <c r="O294">
        <v>10</v>
      </c>
      <c r="P294" t="str">
        <f t="shared" si="32"/>
        <v/>
      </c>
      <c r="Q294" s="38">
        <f t="shared" si="40"/>
        <v>0</v>
      </c>
      <c r="R294" s="38">
        <f t="shared" si="41"/>
        <v>0</v>
      </c>
      <c r="S294">
        <v>0</v>
      </c>
      <c r="T294">
        <v>0</v>
      </c>
      <c r="U294">
        <v>0</v>
      </c>
      <c r="V294">
        <v>0</v>
      </c>
      <c r="W294">
        <f t="shared" si="42"/>
        <v>0</v>
      </c>
      <c r="X294" s="38">
        <f>MAX(0,R294)</f>
        <v>0</v>
      </c>
      <c r="Y294">
        <f>IF(M294&gt;0,M294-X294,0)</f>
        <v>0</v>
      </c>
      <c r="Z294">
        <f>IF(R294&lt;0,MIN(ABS(R294),L294-MAX(S294,IF(T294&gt;0,U294,0))),0)</f>
        <v>0</v>
      </c>
      <c r="AA294">
        <f>IF(M294&lt;0,ABS(M294)-Z294,0)</f>
        <v>0</v>
      </c>
      <c r="AB294" s="5">
        <f>($AA$323-$Y$323)*X294/$X$323</f>
        <v>0</v>
      </c>
      <c r="AC294" s="5">
        <f>L294+X294-Z294-AB294</f>
        <v>0</v>
      </c>
      <c r="AD294" s="5">
        <f t="shared" si="43"/>
        <v>0</v>
      </c>
      <c r="AE294" s="10">
        <f t="shared" si="44"/>
        <v>0</v>
      </c>
      <c r="AF294" s="10">
        <f t="shared" si="45"/>
        <v>0</v>
      </c>
      <c r="AG294">
        <f t="shared" si="46"/>
        <v>0</v>
      </c>
      <c r="AH294" s="9"/>
      <c r="AI294">
        <f t="shared" si="47"/>
        <v>0</v>
      </c>
      <c r="AJ294">
        <f t="shared" si="48"/>
        <v>0</v>
      </c>
      <c r="AK294" s="5">
        <f t="shared" si="49"/>
        <v>0</v>
      </c>
      <c r="AL294" s="5">
        <f t="shared" si="50"/>
        <v>0</v>
      </c>
      <c r="AM294">
        <f t="shared" si="51"/>
        <v>0</v>
      </c>
      <c r="AN294">
        <f t="shared" si="52"/>
        <v>0</v>
      </c>
      <c r="AO294" s="38">
        <f t="shared" si="53"/>
        <v>0</v>
      </c>
      <c r="AP294" s="38">
        <f t="shared" si="54"/>
        <v>0</v>
      </c>
    </row>
    <row r="295" spans="1:42" hidden="1" outlineLevel="1">
      <c r="A295" t="str">
        <f>Table!P11</f>
        <v>dividend_equities</v>
      </c>
      <c r="B295" t="str">
        <f>Table!Q11</f>
        <v>Dividend Yield Fund</v>
      </c>
      <c r="C295" t="str">
        <f>Table!R11</f>
        <v>Dividend Yield Fund_2</v>
      </c>
      <c r="D295">
        <f>Table!S11</f>
        <v>0</v>
      </c>
      <c r="E295">
        <f>Table!T11</f>
        <v>2</v>
      </c>
      <c r="F295" s="5">
        <f t="shared" si="33"/>
        <v>0</v>
      </c>
      <c r="G295" s="4">
        <f>F295/$F$323*100</f>
        <v>0</v>
      </c>
      <c r="H295" s="5">
        <f t="shared" si="34"/>
        <v>10</v>
      </c>
      <c r="I295" s="4">
        <f t="shared" si="35"/>
        <v>0</v>
      </c>
      <c r="J295" s="4">
        <f t="shared" si="36"/>
        <v>0</v>
      </c>
      <c r="K295" s="38">
        <f t="shared" si="37"/>
        <v>0</v>
      </c>
      <c r="L295">
        <f>Allocation!K295</f>
        <v>0</v>
      </c>
      <c r="M295" s="38">
        <f t="shared" si="38"/>
        <v>0</v>
      </c>
      <c r="N295" t="str">
        <f t="shared" si="39"/>
        <v/>
      </c>
      <c r="O295">
        <v>9</v>
      </c>
      <c r="P295" t="str">
        <f t="shared" si="32"/>
        <v/>
      </c>
      <c r="Q295" s="38">
        <f t="shared" si="40"/>
        <v>0</v>
      </c>
      <c r="R295" s="38">
        <f t="shared" si="41"/>
        <v>0</v>
      </c>
      <c r="S295">
        <v>0</v>
      </c>
      <c r="T295">
        <v>0</v>
      </c>
      <c r="U295">
        <v>0</v>
      </c>
      <c r="V295">
        <v>0</v>
      </c>
      <c r="W295">
        <f t="shared" si="42"/>
        <v>0</v>
      </c>
      <c r="X295" s="38">
        <f>MAX(0,R295)</f>
        <v>0</v>
      </c>
      <c r="Y295">
        <f>IF(M295&gt;0,M295-X295,0)</f>
        <v>0</v>
      </c>
      <c r="Z295">
        <f>IF(R295&lt;0,MIN(ABS(R295),L295-MAX(S295,IF(T295&gt;0,U295,0))),0)</f>
        <v>0</v>
      </c>
      <c r="AA295">
        <f>IF(M295&lt;0,ABS(M295)-Z295,0)</f>
        <v>0</v>
      </c>
      <c r="AB295" s="5">
        <f>($AA$323-$Y$323)*X295/$X$323</f>
        <v>0</v>
      </c>
      <c r="AC295" s="5">
        <f>L295+X295-Z295-AB295</f>
        <v>0</v>
      </c>
      <c r="AD295" s="5">
        <f t="shared" si="43"/>
        <v>0</v>
      </c>
      <c r="AE295" s="10">
        <f t="shared" si="44"/>
        <v>0</v>
      </c>
      <c r="AF295" s="10">
        <f t="shared" si="45"/>
        <v>0</v>
      </c>
      <c r="AG295">
        <f t="shared" si="46"/>
        <v>0</v>
      </c>
      <c r="AH295" s="9">
        <v>-200</v>
      </c>
      <c r="AI295">
        <f t="shared" si="47"/>
        <v>0</v>
      </c>
      <c r="AJ295">
        <f t="shared" si="48"/>
        <v>0</v>
      </c>
      <c r="AK295" s="5">
        <f t="shared" si="49"/>
        <v>0</v>
      </c>
      <c r="AL295" s="5">
        <f t="shared" si="50"/>
        <v>0</v>
      </c>
      <c r="AM295">
        <f t="shared" si="51"/>
        <v>0</v>
      </c>
      <c r="AN295">
        <f t="shared" si="52"/>
        <v>0</v>
      </c>
      <c r="AO295" s="38">
        <f t="shared" si="53"/>
        <v>0</v>
      </c>
      <c r="AP295" s="38">
        <f t="shared" si="54"/>
        <v>0</v>
      </c>
    </row>
    <row r="296" spans="1:42" hidden="1" outlineLevel="1">
      <c r="A296" t="str">
        <f>Table!P12</f>
        <v>tax_efficient_equities</v>
      </c>
      <c r="B296" t="str">
        <f>Table!Q12</f>
        <v>ELSS Tax Saver Fund</v>
      </c>
      <c r="C296" t="str">
        <f>Table!R12</f>
        <v>Motilal Oswal ELSS Tax Saver Fund - Regular Plan - Growth Option</v>
      </c>
      <c r="D296" t="str">
        <f>Table!S12</f>
        <v>INF247L01544</v>
      </c>
      <c r="E296">
        <f>Table!T12</f>
        <v>1</v>
      </c>
      <c r="F296" s="5">
        <f t="shared" si="33"/>
        <v>50000</v>
      </c>
      <c r="G296" s="4">
        <f>F296/$F$323*100</f>
        <v>0.6249980468811035</v>
      </c>
      <c r="H296" s="5">
        <f t="shared" si="34"/>
        <v>10</v>
      </c>
      <c r="I296" s="4">
        <f t="shared" si="35"/>
        <v>0.6249980468811035</v>
      </c>
      <c r="J296" s="4">
        <f t="shared" si="36"/>
        <v>0.6249980468811035</v>
      </c>
      <c r="K296" s="38">
        <f t="shared" si="37"/>
        <v>50000</v>
      </c>
      <c r="L296">
        <f>Allocation!K296</f>
        <v>50000</v>
      </c>
      <c r="M296" s="38">
        <f t="shared" si="38"/>
        <v>0</v>
      </c>
      <c r="N296" t="b">
        <f t="shared" si="39"/>
        <v>0</v>
      </c>
      <c r="O296">
        <v>8</v>
      </c>
      <c r="P296" t="b">
        <f t="shared" si="32"/>
        <v>0</v>
      </c>
      <c r="Q296" s="38">
        <f t="shared" si="40"/>
        <v>50000</v>
      </c>
      <c r="R296" s="38">
        <f t="shared" si="41"/>
        <v>0</v>
      </c>
      <c r="S296">
        <v>0</v>
      </c>
      <c r="T296">
        <v>8852</v>
      </c>
      <c r="U296">
        <v>25500</v>
      </c>
      <c r="V296">
        <v>-7172</v>
      </c>
      <c r="W296">
        <f t="shared" si="42"/>
        <v>24500</v>
      </c>
      <c r="X296" s="38">
        <f>MAX(0,R296)</f>
        <v>0</v>
      </c>
      <c r="Y296">
        <f>IF(M296&gt;0,M296-X296,0)</f>
        <v>0</v>
      </c>
      <c r="Z296">
        <f>IF(R296&lt;0,MIN(ABS(R296),L296-MAX(S296,IF(T296&gt;0,U296,0))),0)</f>
        <v>0</v>
      </c>
      <c r="AA296">
        <f>IF(M296&lt;0,ABS(M296)-Z296,0)</f>
        <v>0</v>
      </c>
      <c r="AB296" s="5">
        <f>($AA$323-$Y$323)*X296/$X$323</f>
        <v>0</v>
      </c>
      <c r="AC296" s="5">
        <f>L296+X296-Z296-AB296</f>
        <v>50000</v>
      </c>
      <c r="AD296" s="5">
        <f t="shared" si="43"/>
        <v>0</v>
      </c>
      <c r="AE296" s="10">
        <f t="shared" si="44"/>
        <v>0</v>
      </c>
      <c r="AF296" s="10">
        <f t="shared" si="45"/>
        <v>0</v>
      </c>
      <c r="AG296">
        <f t="shared" si="46"/>
        <v>0</v>
      </c>
      <c r="AH296" s="9"/>
      <c r="AI296">
        <f t="shared" si="47"/>
        <v>0</v>
      </c>
      <c r="AJ296">
        <f t="shared" si="48"/>
        <v>0</v>
      </c>
      <c r="AK296" s="5">
        <f t="shared" si="49"/>
        <v>0</v>
      </c>
      <c r="AL296" s="5">
        <f t="shared" si="50"/>
        <v>0</v>
      </c>
      <c r="AM296">
        <f t="shared" si="51"/>
        <v>0</v>
      </c>
      <c r="AN296">
        <f t="shared" si="52"/>
        <v>0</v>
      </c>
      <c r="AO296" s="38">
        <f t="shared" si="53"/>
        <v>0</v>
      </c>
      <c r="AP296" s="38">
        <f t="shared" si="54"/>
        <v>50000</v>
      </c>
    </row>
    <row r="297" spans="1:42" hidden="1" outlineLevel="1">
      <c r="A297" t="str">
        <f>Table!P13</f>
        <v>tax_efficient_equities</v>
      </c>
      <c r="B297" t="str">
        <f>Table!Q13</f>
        <v>ELSS Tax Saver Fund</v>
      </c>
      <c r="C297" t="str">
        <f>Table!R13</f>
        <v>ELSS Tax Saver Fund_2</v>
      </c>
      <c r="D297">
        <f>Table!S13</f>
        <v>0</v>
      </c>
      <c r="E297">
        <f>Table!T13</f>
        <v>2</v>
      </c>
      <c r="F297" s="5">
        <f t="shared" si="33"/>
        <v>0</v>
      </c>
      <c r="G297" s="4">
        <f>F297/$F$323*100</f>
        <v>0</v>
      </c>
      <c r="H297" s="5">
        <f t="shared" si="34"/>
        <v>10</v>
      </c>
      <c r="I297" s="4">
        <f t="shared" si="35"/>
        <v>0</v>
      </c>
      <c r="J297" s="4">
        <f t="shared" si="36"/>
        <v>0</v>
      </c>
      <c r="K297" s="38">
        <f t="shared" si="37"/>
        <v>0</v>
      </c>
      <c r="L297">
        <f>Allocation!K297</f>
        <v>0</v>
      </c>
      <c r="M297" s="38">
        <f t="shared" si="38"/>
        <v>0</v>
      </c>
      <c r="N297" t="str">
        <f t="shared" si="39"/>
        <v/>
      </c>
      <c r="O297">
        <v>9</v>
      </c>
      <c r="P297" t="str">
        <f t="shared" si="32"/>
        <v/>
      </c>
      <c r="Q297" s="38">
        <f t="shared" si="40"/>
        <v>0</v>
      </c>
      <c r="R297" s="38">
        <f t="shared" si="41"/>
        <v>0</v>
      </c>
      <c r="S297">
        <v>0</v>
      </c>
      <c r="T297">
        <v>0</v>
      </c>
      <c r="U297">
        <v>0</v>
      </c>
      <c r="V297">
        <v>0</v>
      </c>
      <c r="W297">
        <f t="shared" si="42"/>
        <v>0</v>
      </c>
      <c r="X297" s="38">
        <f>MAX(0,R297)</f>
        <v>0</v>
      </c>
      <c r="Y297">
        <f>IF(M297&gt;0,M297-X297,0)</f>
        <v>0</v>
      </c>
      <c r="Z297">
        <f>IF(R297&lt;0,MIN(ABS(R297),L297-MAX(S297,IF(T297&gt;0,U297,0))),0)</f>
        <v>0</v>
      </c>
      <c r="AA297">
        <f>IF(M297&lt;0,ABS(M297)-Z297,0)</f>
        <v>0</v>
      </c>
      <c r="AB297" s="5">
        <f>($AA$323-$Y$323)*X297/$X$323</f>
        <v>0</v>
      </c>
      <c r="AC297" s="5">
        <f>L297+X297-Z297-AB297</f>
        <v>0</v>
      </c>
      <c r="AD297" s="5">
        <f t="shared" si="43"/>
        <v>0</v>
      </c>
      <c r="AE297" s="10">
        <f t="shared" si="44"/>
        <v>0</v>
      </c>
      <c r="AF297" s="10">
        <f t="shared" si="45"/>
        <v>0</v>
      </c>
      <c r="AG297">
        <f t="shared" si="46"/>
        <v>0</v>
      </c>
      <c r="AH297" s="9"/>
      <c r="AI297">
        <f t="shared" si="47"/>
        <v>0</v>
      </c>
      <c r="AJ297">
        <f t="shared" si="48"/>
        <v>0</v>
      </c>
      <c r="AK297" s="5">
        <f t="shared" si="49"/>
        <v>0</v>
      </c>
      <c r="AL297" s="5">
        <f t="shared" si="50"/>
        <v>0</v>
      </c>
      <c r="AM297">
        <f t="shared" si="51"/>
        <v>0</v>
      </c>
      <c r="AN297">
        <f t="shared" si="52"/>
        <v>0</v>
      </c>
      <c r="AO297" s="38">
        <f t="shared" si="53"/>
        <v>0</v>
      </c>
      <c r="AP297" s="38">
        <f t="shared" si="54"/>
        <v>0</v>
      </c>
    </row>
    <row r="298" spans="1:42" hidden="1" outlineLevel="1">
      <c r="A298" t="str">
        <f>Table!P14</f>
        <v>sector_equities</v>
      </c>
      <c r="B298" t="str">
        <f>Table!Q14</f>
        <v>Sectoral Fund</v>
      </c>
      <c r="C298" t="str">
        <f>Table!R14</f>
        <v>Tata Digital India Fund - Regular Plan - Growth</v>
      </c>
      <c r="D298" t="str">
        <f>Table!S14</f>
        <v>INF277K01Z44</v>
      </c>
      <c r="E298">
        <f>Table!T14</f>
        <v>1</v>
      </c>
      <c r="F298" s="5">
        <f t="shared" si="33"/>
        <v>0</v>
      </c>
      <c r="G298" s="4">
        <f>F298/$F$323*100</f>
        <v>0</v>
      </c>
      <c r="H298" s="5">
        <f t="shared" si="34"/>
        <v>10</v>
      </c>
      <c r="I298" s="4">
        <f t="shared" si="35"/>
        <v>0</v>
      </c>
      <c r="J298" s="4">
        <f t="shared" si="36"/>
        <v>0</v>
      </c>
      <c r="K298" s="38">
        <f t="shared" si="37"/>
        <v>0</v>
      </c>
      <c r="L298">
        <f>Allocation!K298</f>
        <v>0</v>
      </c>
      <c r="M298" s="38">
        <f t="shared" si="38"/>
        <v>0</v>
      </c>
      <c r="N298" t="str">
        <f t="shared" si="39"/>
        <v/>
      </c>
      <c r="O298">
        <v>8</v>
      </c>
      <c r="P298" t="str">
        <f t="shared" si="32"/>
        <v/>
      </c>
      <c r="Q298" s="38">
        <f t="shared" si="40"/>
        <v>0</v>
      </c>
      <c r="R298" s="38">
        <f t="shared" si="41"/>
        <v>0</v>
      </c>
      <c r="S298">
        <v>0</v>
      </c>
      <c r="T298">
        <v>0</v>
      </c>
      <c r="U298">
        <v>0</v>
      </c>
      <c r="V298">
        <v>0</v>
      </c>
      <c r="W298">
        <f t="shared" si="42"/>
        <v>0</v>
      </c>
      <c r="X298" s="38">
        <f>MAX(0,R298)</f>
        <v>0</v>
      </c>
      <c r="Y298">
        <f>IF(M298&gt;0,M298-X298,0)</f>
        <v>0</v>
      </c>
      <c r="Z298">
        <f>IF(R298&lt;0,MIN(ABS(R298),L298-MAX(S298,IF(T298&gt;0,U298,0))),0)</f>
        <v>0</v>
      </c>
      <c r="AA298">
        <f>IF(M298&lt;0,ABS(M298)-Z298,0)</f>
        <v>0</v>
      </c>
      <c r="AB298" s="5">
        <f>($AA$323-$Y$323)*X298/$X$323</f>
        <v>0</v>
      </c>
      <c r="AC298" s="5">
        <f>L298+X298-Z298-AB298</f>
        <v>0</v>
      </c>
      <c r="AD298" s="5">
        <f t="shared" si="43"/>
        <v>0</v>
      </c>
      <c r="AE298" s="10">
        <f t="shared" si="44"/>
        <v>0</v>
      </c>
      <c r="AF298" s="10">
        <f t="shared" si="45"/>
        <v>0</v>
      </c>
      <c r="AG298">
        <f t="shared" si="46"/>
        <v>0</v>
      </c>
      <c r="AH298" s="9"/>
      <c r="AI298">
        <f t="shared" si="47"/>
        <v>0</v>
      </c>
      <c r="AJ298">
        <f t="shared" si="48"/>
        <v>0</v>
      </c>
      <c r="AK298" s="5">
        <f t="shared" si="49"/>
        <v>0</v>
      </c>
      <c r="AL298" s="5">
        <f t="shared" si="50"/>
        <v>0</v>
      </c>
      <c r="AM298">
        <f t="shared" si="51"/>
        <v>0</v>
      </c>
      <c r="AN298">
        <f t="shared" si="52"/>
        <v>0</v>
      </c>
      <c r="AO298" s="38">
        <f t="shared" si="53"/>
        <v>0</v>
      </c>
      <c r="AP298" s="38">
        <f t="shared" si="54"/>
        <v>0</v>
      </c>
    </row>
    <row r="299" spans="1:42" hidden="1" outlineLevel="1">
      <c r="A299" t="str">
        <f>Table!P15</f>
        <v>sector_equities</v>
      </c>
      <c r="B299" t="str">
        <f>Table!Q15</f>
        <v>Sectoral Fund</v>
      </c>
      <c r="C299" t="str">
        <f>Table!R15</f>
        <v>Sectoral Fund_2</v>
      </c>
      <c r="D299">
        <f>Table!S15</f>
        <v>0</v>
      </c>
      <c r="E299">
        <f>Table!T15</f>
        <v>2</v>
      </c>
      <c r="F299" s="5">
        <f t="shared" si="33"/>
        <v>0</v>
      </c>
      <c r="G299" s="4">
        <f>F299/$F$323*100</f>
        <v>0</v>
      </c>
      <c r="H299" s="5">
        <f t="shared" si="34"/>
        <v>10</v>
      </c>
      <c r="I299" s="4">
        <f t="shared" si="35"/>
        <v>0</v>
      </c>
      <c r="J299" s="4">
        <f t="shared" si="36"/>
        <v>0</v>
      </c>
      <c r="K299" s="38">
        <f t="shared" si="37"/>
        <v>0</v>
      </c>
      <c r="L299">
        <f>Allocation!K299</f>
        <v>0</v>
      </c>
      <c r="M299" s="38">
        <f t="shared" si="38"/>
        <v>0</v>
      </c>
      <c r="N299" t="str">
        <f t="shared" si="39"/>
        <v/>
      </c>
      <c r="O299">
        <v>8</v>
      </c>
      <c r="P299" t="str">
        <f t="shared" si="32"/>
        <v/>
      </c>
      <c r="Q299" s="38">
        <f t="shared" si="40"/>
        <v>0</v>
      </c>
      <c r="R299" s="38">
        <f t="shared" si="41"/>
        <v>0</v>
      </c>
      <c r="S299">
        <v>0</v>
      </c>
      <c r="T299">
        <v>0</v>
      </c>
      <c r="U299">
        <v>0</v>
      </c>
      <c r="V299">
        <v>0</v>
      </c>
      <c r="W299">
        <f t="shared" si="42"/>
        <v>0</v>
      </c>
      <c r="X299" s="38">
        <f>MAX(0,R299)</f>
        <v>0</v>
      </c>
      <c r="Y299">
        <f>IF(M299&gt;0,M299-X299,0)</f>
        <v>0</v>
      </c>
      <c r="Z299">
        <f>IF(R299&lt;0,MIN(ABS(R299),L299-MAX(S299,IF(T299&gt;0,U299,0))),0)</f>
        <v>0</v>
      </c>
      <c r="AA299">
        <f>IF(M299&lt;0,ABS(M299)-Z299,0)</f>
        <v>0</v>
      </c>
      <c r="AB299" s="5">
        <f>($AA$323-$Y$323)*X299/$X$323</f>
        <v>0</v>
      </c>
      <c r="AC299" s="5">
        <f>L299+X299-Z299-AB299</f>
        <v>0</v>
      </c>
      <c r="AD299" s="5">
        <f t="shared" si="43"/>
        <v>0</v>
      </c>
      <c r="AE299" s="10">
        <f t="shared" si="44"/>
        <v>0</v>
      </c>
      <c r="AF299" s="10">
        <f t="shared" si="45"/>
        <v>0</v>
      </c>
      <c r="AG299">
        <f t="shared" si="46"/>
        <v>0</v>
      </c>
      <c r="AH299" s="9"/>
      <c r="AI299">
        <f t="shared" si="47"/>
        <v>0</v>
      </c>
      <c r="AJ299">
        <f t="shared" si="48"/>
        <v>0</v>
      </c>
      <c r="AK299" s="5">
        <f t="shared" si="49"/>
        <v>0</v>
      </c>
      <c r="AL299" s="5">
        <f t="shared" si="50"/>
        <v>0</v>
      </c>
      <c r="AM299">
        <f t="shared" si="51"/>
        <v>0</v>
      </c>
      <c r="AN299">
        <f t="shared" si="52"/>
        <v>0</v>
      </c>
      <c r="AO299" s="38">
        <f t="shared" si="53"/>
        <v>0</v>
      </c>
      <c r="AP299" s="38">
        <f t="shared" si="54"/>
        <v>0</v>
      </c>
    </row>
    <row r="300" spans="1:42" hidden="1" outlineLevel="1">
      <c r="A300" t="str">
        <f>Table!P16</f>
        <v>us_equities</v>
      </c>
      <c r="B300" t="str">
        <f>Table!Q16</f>
        <v>US Linked (FoF)</v>
      </c>
      <c r="C300" t="str">
        <f>Table!R16</f>
        <v>Kotak US Specific Equity Passive FOF - Direct Plan - Growth</v>
      </c>
      <c r="D300" t="str">
        <f>Table!S16</f>
        <v>INF174KA1FQ7</v>
      </c>
      <c r="E300">
        <f>Table!T16</f>
        <v>1</v>
      </c>
      <c r="F300" s="5">
        <f t="shared" si="33"/>
        <v>431900</v>
      </c>
      <c r="G300" s="4">
        <f>F300/$F$323*100</f>
        <v>5.3987331289589724</v>
      </c>
      <c r="H300" s="5">
        <f t="shared" si="34"/>
        <v>10</v>
      </c>
      <c r="I300" s="4">
        <f t="shared" si="35"/>
        <v>5.3987331289589724</v>
      </c>
      <c r="J300" s="4">
        <f t="shared" si="36"/>
        <v>5.3987331289589724</v>
      </c>
      <c r="K300" s="38">
        <f t="shared" si="37"/>
        <v>431900</v>
      </c>
      <c r="L300">
        <f>Allocation!K300</f>
        <v>942700</v>
      </c>
      <c r="M300" s="38">
        <f t="shared" si="38"/>
        <v>-510800</v>
      </c>
      <c r="N300" t="b">
        <f t="shared" si="39"/>
        <v>0</v>
      </c>
      <c r="O300">
        <v>10</v>
      </c>
      <c r="P300" t="b">
        <f t="shared" si="32"/>
        <v>1</v>
      </c>
      <c r="Q300" s="38">
        <f t="shared" si="40"/>
        <v>431900</v>
      </c>
      <c r="R300" s="38">
        <f t="shared" si="41"/>
        <v>-510800</v>
      </c>
      <c r="S300">
        <v>0</v>
      </c>
      <c r="T300">
        <v>301</v>
      </c>
      <c r="U300">
        <v>226248</v>
      </c>
      <c r="V300">
        <v>1680</v>
      </c>
      <c r="W300">
        <f t="shared" si="42"/>
        <v>716452</v>
      </c>
      <c r="X300" s="38">
        <f>MAX(0,R300)</f>
        <v>0</v>
      </c>
      <c r="Y300">
        <f>IF(M300&gt;0,M300-X300,0)</f>
        <v>0</v>
      </c>
      <c r="Z300">
        <f>IF(R300&lt;0,MIN(ABS(R300),L300-MAX(S300,IF(T300&gt;0,U300,0))),0)</f>
        <v>510800</v>
      </c>
      <c r="AA300">
        <f>IF(M300&lt;0,ABS(M300)-Z300,0)</f>
        <v>0</v>
      </c>
      <c r="AB300" s="5">
        <f>($AA$323-$Y$323)*X300/$X$323</f>
        <v>0</v>
      </c>
      <c r="AC300" s="5">
        <f>L300+X300-Z300-AB300</f>
        <v>431900</v>
      </c>
      <c r="AD300" s="5">
        <f t="shared" si="43"/>
        <v>510800</v>
      </c>
      <c r="AE300" s="10">
        <f t="shared" si="44"/>
        <v>1197.7690061581236</v>
      </c>
      <c r="AF300" s="10">
        <f t="shared" si="45"/>
        <v>0</v>
      </c>
      <c r="AG300">
        <f t="shared" si="46"/>
        <v>0</v>
      </c>
      <c r="AH300" s="9"/>
      <c r="AI300">
        <f t="shared" si="47"/>
        <v>510800</v>
      </c>
      <c r="AJ300">
        <f t="shared" si="48"/>
        <v>0</v>
      </c>
      <c r="AK300" s="5">
        <f t="shared" si="49"/>
        <v>0</v>
      </c>
      <c r="AL300" s="5">
        <f t="shared" si="50"/>
        <v>0</v>
      </c>
      <c r="AM300">
        <f t="shared" si="51"/>
        <v>510800</v>
      </c>
      <c r="AN300">
        <f t="shared" si="52"/>
        <v>0</v>
      </c>
      <c r="AO300" s="38">
        <f t="shared" si="53"/>
        <v>0</v>
      </c>
      <c r="AP300" s="38">
        <f t="shared" si="54"/>
        <v>431900</v>
      </c>
    </row>
    <row r="301" spans="1:42" hidden="1" outlineLevel="1">
      <c r="A301" t="str">
        <f>Table!P17</f>
        <v>us_equities</v>
      </c>
      <c r="B301" t="str">
        <f>Table!Q17</f>
        <v>US Linked (FoF)</v>
      </c>
      <c r="C301" t="str">
        <f>Table!R17</f>
        <v>US Linked (FoF)_2</v>
      </c>
      <c r="D301">
        <f>Table!S17</f>
        <v>0</v>
      </c>
      <c r="E301">
        <f>Table!T17</f>
        <v>2</v>
      </c>
      <c r="F301" s="5">
        <f t="shared" si="33"/>
        <v>0</v>
      </c>
      <c r="G301" s="4">
        <f>F301/$F$323*100</f>
        <v>0</v>
      </c>
      <c r="H301" s="5">
        <f t="shared" si="34"/>
        <v>10</v>
      </c>
      <c r="I301" s="4">
        <f t="shared" si="35"/>
        <v>0</v>
      </c>
      <c r="J301" s="4">
        <f t="shared" si="36"/>
        <v>0</v>
      </c>
      <c r="K301" s="38">
        <f t="shared" si="37"/>
        <v>0</v>
      </c>
      <c r="L301">
        <f>Allocation!K301</f>
        <v>0</v>
      </c>
      <c r="M301" s="38">
        <f t="shared" si="38"/>
        <v>0</v>
      </c>
      <c r="N301" t="str">
        <f t="shared" si="39"/>
        <v/>
      </c>
      <c r="O301">
        <v>10</v>
      </c>
      <c r="P301" t="str">
        <f t="shared" si="32"/>
        <v/>
      </c>
      <c r="Q301" s="38">
        <f t="shared" si="40"/>
        <v>0</v>
      </c>
      <c r="R301" s="38">
        <f t="shared" si="41"/>
        <v>0</v>
      </c>
      <c r="S301">
        <v>0</v>
      </c>
      <c r="T301">
        <v>0</v>
      </c>
      <c r="U301">
        <v>0</v>
      </c>
      <c r="V301">
        <v>0</v>
      </c>
      <c r="W301">
        <f t="shared" si="42"/>
        <v>0</v>
      </c>
      <c r="X301" s="38">
        <f>MAX(0,R301)</f>
        <v>0</v>
      </c>
      <c r="Y301">
        <f>IF(M301&gt;0,M301-X301,0)</f>
        <v>0</v>
      </c>
      <c r="Z301">
        <f>IF(R301&lt;0,MIN(ABS(R301),L301-MAX(S301,IF(T301&gt;0,U301,0))),0)</f>
        <v>0</v>
      </c>
      <c r="AA301">
        <f>IF(M301&lt;0,ABS(M301)-Z301,0)</f>
        <v>0</v>
      </c>
      <c r="AB301" s="5">
        <f>($AA$323-$Y$323)*X301/$X$323</f>
        <v>0</v>
      </c>
      <c r="AC301" s="5">
        <f>L301+X301-Z301-AB301</f>
        <v>0</v>
      </c>
      <c r="AD301" s="5">
        <f t="shared" si="43"/>
        <v>0</v>
      </c>
      <c r="AE301" s="10">
        <f t="shared" si="44"/>
        <v>0</v>
      </c>
      <c r="AF301" s="10">
        <f t="shared" si="45"/>
        <v>0</v>
      </c>
      <c r="AG301">
        <f t="shared" si="46"/>
        <v>0</v>
      </c>
      <c r="AH301" s="9"/>
      <c r="AI301">
        <f t="shared" si="47"/>
        <v>0</v>
      </c>
      <c r="AJ301">
        <f t="shared" si="48"/>
        <v>0</v>
      </c>
      <c r="AK301" s="5">
        <f t="shared" si="49"/>
        <v>0</v>
      </c>
      <c r="AL301" s="5">
        <f t="shared" si="50"/>
        <v>0</v>
      </c>
      <c r="AM301">
        <f t="shared" si="51"/>
        <v>0</v>
      </c>
      <c r="AN301">
        <f t="shared" si="52"/>
        <v>0</v>
      </c>
      <c r="AO301" s="38">
        <f t="shared" si="53"/>
        <v>0</v>
      </c>
      <c r="AP301" s="38">
        <f t="shared" si="54"/>
        <v>0</v>
      </c>
    </row>
    <row r="302" spans="1:42" hidden="1" outlineLevel="1">
      <c r="A302" t="str">
        <f>Table!P18</f>
        <v>multi_asset</v>
      </c>
      <c r="B302" t="str">
        <f>Table!Q18</f>
        <v>Multi Cap Fund</v>
      </c>
      <c r="C302" t="str">
        <f>Table!R18</f>
        <v>ICICI Prudential Multicap Fund - Growth</v>
      </c>
      <c r="D302" t="str">
        <f>Table!S18</f>
        <v>INF109K01613</v>
      </c>
      <c r="E302">
        <f>Table!T18</f>
        <v>1</v>
      </c>
      <c r="F302" s="5">
        <f t="shared" si="33"/>
        <v>3614300</v>
      </c>
      <c r="G302" s="4">
        <f>F302/$F$323*100</f>
        <v>45.178608816847451</v>
      </c>
      <c r="H302" s="5">
        <f t="shared" si="34"/>
        <v>20</v>
      </c>
      <c r="I302" s="4">
        <f t="shared" si="35"/>
        <v>20</v>
      </c>
      <c r="J302" s="4">
        <f t="shared" si="36"/>
        <v>20</v>
      </c>
      <c r="K302" s="38">
        <f t="shared" si="37"/>
        <v>1600005</v>
      </c>
      <c r="L302">
        <f>Allocation!K302</f>
        <v>2000005</v>
      </c>
      <c r="M302" s="38">
        <f t="shared" si="38"/>
        <v>-400000</v>
      </c>
      <c r="N302" t="b">
        <f t="shared" si="39"/>
        <v>0</v>
      </c>
      <c r="O302">
        <v>10</v>
      </c>
      <c r="P302" t="b">
        <f t="shared" si="32"/>
        <v>1</v>
      </c>
      <c r="Q302" s="38">
        <f t="shared" si="40"/>
        <v>1600005</v>
      </c>
      <c r="R302" s="38">
        <f t="shared" si="41"/>
        <v>-400000</v>
      </c>
      <c r="S302" s="5">
        <f>L302*35%</f>
        <v>700001.75</v>
      </c>
      <c r="T302">
        <v>7225</v>
      </c>
      <c r="U302">
        <v>680001.70000000007</v>
      </c>
      <c r="V302">
        <v>4616</v>
      </c>
      <c r="W302">
        <f t="shared" si="42"/>
        <v>1320003.2999999998</v>
      </c>
      <c r="X302" s="38">
        <f>MAX(0,R302)</f>
        <v>0</v>
      </c>
      <c r="Y302">
        <f>IF(M302&gt;0,M302-X302,0)</f>
        <v>0</v>
      </c>
      <c r="Z302">
        <f>IF(R302&lt;0,MIN(ABS(R302),L302-MAX(S302,IF(T302&gt;0,U302,0))),0)</f>
        <v>400000</v>
      </c>
      <c r="AA302">
        <f>IF(M302&lt;0,ABS(M302)-Z302,0)</f>
        <v>0</v>
      </c>
      <c r="AB302" s="5">
        <f>($AA$323-$Y$323)*X302/$X$323</f>
        <v>0</v>
      </c>
      <c r="AC302" s="5">
        <f>L302+X302-Z302-AB302</f>
        <v>1600005</v>
      </c>
      <c r="AD302" s="5">
        <f t="shared" si="43"/>
        <v>400000</v>
      </c>
      <c r="AE302" s="10">
        <f t="shared" si="44"/>
        <v>1398.7843818269246</v>
      </c>
      <c r="AF302" s="10">
        <f t="shared" si="45"/>
        <v>0</v>
      </c>
      <c r="AG302">
        <f t="shared" si="46"/>
        <v>0</v>
      </c>
      <c r="AH302" s="9"/>
      <c r="AI302">
        <f t="shared" si="47"/>
        <v>400000</v>
      </c>
      <c r="AJ302">
        <f t="shared" si="48"/>
        <v>0</v>
      </c>
      <c r="AK302" s="5">
        <f t="shared" si="49"/>
        <v>0</v>
      </c>
      <c r="AL302" s="5">
        <f t="shared" si="50"/>
        <v>0</v>
      </c>
      <c r="AM302">
        <f t="shared" si="51"/>
        <v>400000</v>
      </c>
      <c r="AN302">
        <f t="shared" si="52"/>
        <v>0</v>
      </c>
      <c r="AO302" s="38">
        <f t="shared" si="53"/>
        <v>0</v>
      </c>
      <c r="AP302" s="38">
        <f t="shared" si="54"/>
        <v>1600005</v>
      </c>
    </row>
    <row r="303" spans="1:42" hidden="1" outlineLevel="1">
      <c r="A303" t="str">
        <f>Table!P19</f>
        <v>multi_asset</v>
      </c>
      <c r="B303" t="str">
        <f>Table!Q19</f>
        <v>Multi Cap Fund</v>
      </c>
      <c r="C303" t="str">
        <f>Table!R19</f>
        <v>Multi Cap Fund_2</v>
      </c>
      <c r="D303">
        <f>Table!S19</f>
        <v>0</v>
      </c>
      <c r="E303">
        <f>Table!T19</f>
        <v>2</v>
      </c>
      <c r="F303" s="5">
        <f t="shared" si="33"/>
        <v>0</v>
      </c>
      <c r="G303" s="4">
        <f>F303/$F$323*100</f>
        <v>0</v>
      </c>
      <c r="H303" s="5">
        <f t="shared" si="34"/>
        <v>20</v>
      </c>
      <c r="I303" s="4">
        <f t="shared" si="35"/>
        <v>25.178608816847451</v>
      </c>
      <c r="J303" s="4">
        <f t="shared" si="36"/>
        <v>20</v>
      </c>
      <c r="K303" s="38">
        <f t="shared" si="37"/>
        <v>1600005</v>
      </c>
      <c r="L303">
        <f>Allocation!K303</f>
        <v>2000005</v>
      </c>
      <c r="M303" s="38">
        <f t="shared" si="38"/>
        <v>-400000</v>
      </c>
      <c r="N303" t="b">
        <f t="shared" si="39"/>
        <v>0</v>
      </c>
      <c r="O303">
        <v>8</v>
      </c>
      <c r="P303" t="b">
        <f t="shared" si="32"/>
        <v>1</v>
      </c>
      <c r="Q303" s="38">
        <f t="shared" si="40"/>
        <v>1600005</v>
      </c>
      <c r="R303" s="38">
        <f t="shared" si="41"/>
        <v>-400000</v>
      </c>
      <c r="S303" s="5">
        <f>L303*35%</f>
        <v>700001.75</v>
      </c>
      <c r="T303">
        <v>-2211</v>
      </c>
      <c r="U303">
        <v>1140002.8499999999</v>
      </c>
      <c r="V303">
        <v>9308</v>
      </c>
      <c r="W303">
        <f t="shared" si="42"/>
        <v>860002.15000000014</v>
      </c>
      <c r="X303" s="38">
        <f>MAX(0,R303)</f>
        <v>0</v>
      </c>
      <c r="Y303">
        <f>IF(M303&gt;0,M303-X303,0)</f>
        <v>0</v>
      </c>
      <c r="Z303">
        <f>IF(R303&lt;0,MIN(ABS(R303),L303-MAX(S303,IF(T303&gt;0,U303,0))),0)</f>
        <v>400000</v>
      </c>
      <c r="AA303">
        <f>IF(M303&lt;0,ABS(M303)-Z303,0)</f>
        <v>0</v>
      </c>
      <c r="AB303" s="5">
        <f>($AA$323-$Y$323)*X303/$X$323</f>
        <v>0</v>
      </c>
      <c r="AC303" s="5">
        <f>L303+X303-Z303-AB303</f>
        <v>1600005</v>
      </c>
      <c r="AD303" s="5">
        <f t="shared" si="43"/>
        <v>400000</v>
      </c>
      <c r="AE303" s="10">
        <f t="shared" si="44"/>
        <v>4329.2915023526384</v>
      </c>
      <c r="AF303" s="10">
        <f t="shared" si="45"/>
        <v>0</v>
      </c>
      <c r="AG303">
        <f t="shared" si="46"/>
        <v>0</v>
      </c>
      <c r="AH303" s="9"/>
      <c r="AI303">
        <f t="shared" si="47"/>
        <v>400000</v>
      </c>
      <c r="AJ303">
        <f t="shared" si="48"/>
        <v>0</v>
      </c>
      <c r="AK303" s="5">
        <f t="shared" si="49"/>
        <v>0</v>
      </c>
      <c r="AL303" s="5">
        <f t="shared" si="50"/>
        <v>0</v>
      </c>
      <c r="AM303">
        <f t="shared" si="51"/>
        <v>400000</v>
      </c>
      <c r="AN303">
        <f t="shared" si="52"/>
        <v>0</v>
      </c>
      <c r="AO303" s="38">
        <f t="shared" si="53"/>
        <v>0</v>
      </c>
      <c r="AP303" s="38">
        <f t="shared" si="54"/>
        <v>1600005</v>
      </c>
    </row>
    <row r="304" spans="1:42" hidden="1" outlineLevel="1">
      <c r="A304" t="str">
        <f>Table!P20</f>
        <v>multi_asset</v>
      </c>
      <c r="B304" t="str">
        <f>Table!Q20</f>
        <v>Multi Cap Fund</v>
      </c>
      <c r="C304" t="str">
        <f>Table!R20</f>
        <v>Multi Cap Fund_3</v>
      </c>
      <c r="D304">
        <f>Table!S20</f>
        <v>0</v>
      </c>
      <c r="E304">
        <f>Table!T20</f>
        <v>3</v>
      </c>
      <c r="F304" s="5">
        <f t="shared" si="33"/>
        <v>0</v>
      </c>
      <c r="G304" s="4">
        <f>F304/$F$323*100</f>
        <v>0</v>
      </c>
      <c r="H304" s="5">
        <f t="shared" si="34"/>
        <v>20</v>
      </c>
      <c r="I304" s="4">
        <f t="shared" si="35"/>
        <v>0</v>
      </c>
      <c r="J304" s="4">
        <f t="shared" si="36"/>
        <v>5.1786088168474507</v>
      </c>
      <c r="K304" s="38">
        <f t="shared" si="37"/>
        <v>414290.00000000029</v>
      </c>
      <c r="L304">
        <f>Allocation!K304</f>
        <v>1665889.9999999993</v>
      </c>
      <c r="M304" s="38">
        <f t="shared" si="38"/>
        <v>-1251599.9999999991</v>
      </c>
      <c r="N304" t="b">
        <f t="shared" si="39"/>
        <v>0</v>
      </c>
      <c r="O304">
        <v>9</v>
      </c>
      <c r="P304" t="b">
        <f t="shared" si="32"/>
        <v>1</v>
      </c>
      <c r="Q304" s="38">
        <f t="shared" si="40"/>
        <v>414290.00000000023</v>
      </c>
      <c r="R304" s="38">
        <f t="shared" si="41"/>
        <v>-1251599.9999999991</v>
      </c>
      <c r="S304">
        <v>0</v>
      </c>
      <c r="T304">
        <v>2275</v>
      </c>
      <c r="U304">
        <v>416472.49999999983</v>
      </c>
      <c r="V304">
        <v>-7285</v>
      </c>
      <c r="W304">
        <f t="shared" si="42"/>
        <v>1249417.4999999995</v>
      </c>
      <c r="X304" s="38">
        <f>MAX(0,R304)</f>
        <v>0</v>
      </c>
      <c r="Y304">
        <f>IF(M304&gt;0,M304-X304,0)</f>
        <v>0</v>
      </c>
      <c r="Z304">
        <f>IF(R304&lt;0,MIN(ABS(R304),L304-MAX(S304,IF(T304&gt;0,U304,0))),0)</f>
        <v>1249417.4999999995</v>
      </c>
      <c r="AA304">
        <f>IF(M304&lt;0,ABS(M304)-Z304,0)</f>
        <v>2182.4999999995343</v>
      </c>
      <c r="AB304" s="5">
        <f>($AA$323-$Y$323)*X304/$X$323</f>
        <v>0</v>
      </c>
      <c r="AC304" s="5">
        <f>L304+X304-Z304-AB304</f>
        <v>416472.49999999977</v>
      </c>
      <c r="AD304" s="5">
        <f t="shared" si="43"/>
        <v>1249417.4999999995</v>
      </c>
      <c r="AE304" s="10">
        <f t="shared" si="44"/>
        <v>-7285</v>
      </c>
      <c r="AF304" s="10">
        <f t="shared" si="45"/>
        <v>0</v>
      </c>
      <c r="AG304">
        <f t="shared" si="46"/>
        <v>0</v>
      </c>
      <c r="AH304" s="9"/>
      <c r="AI304">
        <f t="shared" si="47"/>
        <v>1251599.9999999991</v>
      </c>
      <c r="AJ304">
        <f t="shared" si="48"/>
        <v>2182.4999999995343</v>
      </c>
      <c r="AK304" s="5">
        <f t="shared" si="49"/>
        <v>11.922005654632521</v>
      </c>
      <c r="AL304" s="5">
        <f t="shared" si="50"/>
        <v>11.922005654632519</v>
      </c>
      <c r="AM304">
        <f t="shared" si="51"/>
        <v>1251599.9999999991</v>
      </c>
      <c r="AN304">
        <f t="shared" si="52"/>
        <v>0</v>
      </c>
      <c r="AO304" s="38">
        <f t="shared" si="53"/>
        <v>0</v>
      </c>
      <c r="AP304" s="38">
        <f t="shared" si="54"/>
        <v>414290.00000000023</v>
      </c>
    </row>
    <row r="305" spans="1:42" collapsed="1">
      <c r="A305" s="54" t="str">
        <f>Table!P21</f>
        <v>short_debt</v>
      </c>
      <c r="B305" s="54" t="str">
        <f>Table!Q21</f>
        <v>Liquid Fund</v>
      </c>
      <c r="C305" s="54" t="str">
        <f>Table!R21</f>
        <v>Canara Robeco Liquid Fund - Regular Plan - Growth Option</v>
      </c>
      <c r="D305" s="54" t="str">
        <f>Table!S21</f>
        <v>INF179K01VF7</v>
      </c>
      <c r="E305" s="54">
        <f>Table!T21</f>
        <v>1</v>
      </c>
      <c r="F305" s="55">
        <f t="shared" si="33"/>
        <v>480000</v>
      </c>
      <c r="G305" s="56">
        <f>F305/$F$323*100</f>
        <v>5.9999812500585934</v>
      </c>
      <c r="H305" s="55">
        <f t="shared" si="34"/>
        <v>10</v>
      </c>
      <c r="I305" s="56">
        <f t="shared" si="35"/>
        <v>5.9999812500585934</v>
      </c>
      <c r="J305" s="56">
        <f t="shared" si="36"/>
        <v>5.9999812500585934</v>
      </c>
      <c r="K305" s="57">
        <f t="shared" si="37"/>
        <v>480000</v>
      </c>
      <c r="L305" s="54">
        <f>Allocation!K305*0+700000</f>
        <v>700000</v>
      </c>
      <c r="M305" s="57">
        <f>K305-L305</f>
        <v>-220000</v>
      </c>
      <c r="N305" s="54" t="b">
        <f t="shared" si="39"/>
        <v>0</v>
      </c>
      <c r="O305" s="54">
        <v>10</v>
      </c>
      <c r="P305" s="54" t="b">
        <f t="shared" si="32"/>
        <v>1</v>
      </c>
      <c r="Q305" s="57">
        <f t="shared" si="40"/>
        <v>480000</v>
      </c>
      <c r="R305" s="57">
        <f t="shared" si="41"/>
        <v>-220000</v>
      </c>
      <c r="S305" s="54">
        <v>0</v>
      </c>
      <c r="T305" s="54">
        <v>8468</v>
      </c>
      <c r="U305" s="54">
        <f>L305</f>
        <v>700000</v>
      </c>
      <c r="V305" s="59"/>
      <c r="W305" s="59"/>
      <c r="X305" s="57">
        <f>MAX(0,R305)</f>
        <v>0</v>
      </c>
      <c r="Y305" s="54">
        <f>IF(M305&gt;0,M305-X305,0)</f>
        <v>0</v>
      </c>
      <c r="Z305" s="9">
        <f>IF(R305&lt;0,MIN(ABS(R305),L305-S305),0)</f>
        <v>220000</v>
      </c>
      <c r="AA305" s="54">
        <f>IF(M305&lt;0,ABS(M305)-Z305,0)</f>
        <v>0</v>
      </c>
      <c r="AB305" s="55">
        <f>($AA$323-$Y$323)*X305/$X$323</f>
        <v>0</v>
      </c>
      <c r="AC305" s="55">
        <f>L305+X305-Z305-AB305</f>
        <v>480000</v>
      </c>
      <c r="AD305" s="55">
        <f t="shared" si="43"/>
        <v>220000</v>
      </c>
      <c r="AE305" s="58">
        <f t="shared" si="44"/>
        <v>0</v>
      </c>
      <c r="AF305" s="58">
        <f t="shared" si="45"/>
        <v>0</v>
      </c>
      <c r="AG305" s="54">
        <f t="shared" si="46"/>
        <v>0</v>
      </c>
      <c r="AH305" s="54"/>
      <c r="AI305" s="54">
        <f t="shared" si="47"/>
        <v>220000</v>
      </c>
      <c r="AJ305" s="54">
        <f t="shared" si="48"/>
        <v>0</v>
      </c>
      <c r="AK305" s="55">
        <f t="shared" si="49"/>
        <v>0</v>
      </c>
      <c r="AL305" s="55">
        <f t="shared" si="50"/>
        <v>0</v>
      </c>
      <c r="AM305" s="54">
        <f t="shared" si="51"/>
        <v>220000</v>
      </c>
      <c r="AN305" s="54">
        <f t="shared" si="52"/>
        <v>0</v>
      </c>
      <c r="AO305" s="57">
        <f t="shared" si="53"/>
        <v>0</v>
      </c>
      <c r="AP305" s="57">
        <f t="shared" si="54"/>
        <v>480000</v>
      </c>
    </row>
    <row r="306" spans="1:42">
      <c r="A306" s="54" t="str">
        <f>Table!P22</f>
        <v>short_debt</v>
      </c>
      <c r="B306" s="54" t="str">
        <f>Table!Q22</f>
        <v>Liquid Fund</v>
      </c>
      <c r="C306" s="54" t="str">
        <f>Table!R22</f>
        <v>Liquid Fund_2</v>
      </c>
      <c r="D306" s="54">
        <f>Table!S22</f>
        <v>0</v>
      </c>
      <c r="E306" s="54">
        <f>Table!T22</f>
        <v>2</v>
      </c>
      <c r="F306" s="55">
        <f t="shared" si="33"/>
        <v>0</v>
      </c>
      <c r="G306" s="56">
        <f>F306/$F$323*100</f>
        <v>0</v>
      </c>
      <c r="H306" s="55">
        <f t="shared" si="34"/>
        <v>10</v>
      </c>
      <c r="I306" s="56">
        <f t="shared" si="35"/>
        <v>0</v>
      </c>
      <c r="J306" s="56">
        <f t="shared" si="36"/>
        <v>0</v>
      </c>
      <c r="K306" s="57">
        <f t="shared" si="37"/>
        <v>0</v>
      </c>
      <c r="L306" s="54">
        <f>Allocation!K306</f>
        <v>0</v>
      </c>
      <c r="M306" s="57">
        <f t="shared" si="38"/>
        <v>0</v>
      </c>
      <c r="N306" s="54" t="str">
        <f t="shared" si="39"/>
        <v/>
      </c>
      <c r="O306" s="54">
        <v>10</v>
      </c>
      <c r="P306" s="54" t="str">
        <f t="shared" si="32"/>
        <v/>
      </c>
      <c r="Q306" s="57">
        <f t="shared" si="40"/>
        <v>0</v>
      </c>
      <c r="R306" s="57">
        <f t="shared" si="41"/>
        <v>0</v>
      </c>
      <c r="S306" s="54">
        <v>0</v>
      </c>
      <c r="T306" s="54">
        <v>0</v>
      </c>
      <c r="U306" s="54">
        <v>0</v>
      </c>
      <c r="V306" s="59"/>
      <c r="W306" s="59"/>
      <c r="X306" s="57">
        <f>MAX(0,R306)</f>
        <v>0</v>
      </c>
      <c r="Y306" s="54">
        <f>IF(M306&gt;0,M306-X306,0)</f>
        <v>0</v>
      </c>
      <c r="Z306" s="9">
        <f>IF(R306&lt;0,MIN(ABS(R306),L306-S306),0)</f>
        <v>0</v>
      </c>
      <c r="AA306" s="54">
        <f>IF(M306&lt;0,ABS(M306)-Z306,0)</f>
        <v>0</v>
      </c>
      <c r="AB306" s="55">
        <f>($AA$323-$Y$323)*X306/$X$323</f>
        <v>0</v>
      </c>
      <c r="AC306" s="55">
        <f>L306+X306-Z306-AB306</f>
        <v>0</v>
      </c>
      <c r="AD306" s="55">
        <f t="shared" si="43"/>
        <v>0</v>
      </c>
      <c r="AE306" s="58">
        <f t="shared" si="44"/>
        <v>0</v>
      </c>
      <c r="AF306" s="58">
        <f t="shared" si="45"/>
        <v>0</v>
      </c>
      <c r="AG306" s="54">
        <f t="shared" si="46"/>
        <v>0</v>
      </c>
      <c r="AH306" s="54"/>
      <c r="AI306" s="54">
        <f t="shared" si="47"/>
        <v>0</v>
      </c>
      <c r="AJ306" s="54">
        <f t="shared" si="48"/>
        <v>0</v>
      </c>
      <c r="AK306" s="55">
        <f t="shared" si="49"/>
        <v>0</v>
      </c>
      <c r="AL306" s="55">
        <f t="shared" si="50"/>
        <v>0</v>
      </c>
      <c r="AM306" s="54">
        <f t="shared" si="51"/>
        <v>0</v>
      </c>
      <c r="AN306" s="54">
        <f t="shared" si="52"/>
        <v>0</v>
      </c>
      <c r="AO306" s="57">
        <f t="shared" si="53"/>
        <v>0</v>
      </c>
      <c r="AP306" s="57">
        <f t="shared" si="54"/>
        <v>0</v>
      </c>
    </row>
    <row r="307" spans="1:42">
      <c r="A307" t="str">
        <f>Table!P23</f>
        <v>arbitrage</v>
      </c>
      <c r="B307" t="str">
        <f>Table!Q23</f>
        <v>Arbitrage Fund</v>
      </c>
      <c r="C307" t="str">
        <f>Table!R23</f>
        <v>Nippon India Arbitrage Fund - Direct Plan - Growth</v>
      </c>
      <c r="D307" t="str">
        <f>Table!S23</f>
        <v>INF204K01XZ7</v>
      </c>
      <c r="E307">
        <f>Table!T23</f>
        <v>1</v>
      </c>
      <c r="F307" s="5">
        <f t="shared" si="33"/>
        <v>0</v>
      </c>
      <c r="G307" s="4">
        <f>F307/$F$323*100</f>
        <v>0</v>
      </c>
      <c r="H307" s="5">
        <f t="shared" si="34"/>
        <v>10</v>
      </c>
      <c r="I307" s="4">
        <f t="shared" si="35"/>
        <v>0</v>
      </c>
      <c r="J307" s="4">
        <f t="shared" si="36"/>
        <v>0</v>
      </c>
      <c r="K307" s="38">
        <f t="shared" si="37"/>
        <v>0</v>
      </c>
      <c r="L307">
        <f>Allocation!K307</f>
        <v>0</v>
      </c>
      <c r="M307" s="38">
        <f t="shared" si="38"/>
        <v>0</v>
      </c>
      <c r="N307" t="str">
        <f t="shared" si="39"/>
        <v/>
      </c>
      <c r="O307">
        <v>9</v>
      </c>
      <c r="P307" t="str">
        <f t="shared" si="32"/>
        <v/>
      </c>
      <c r="Q307" s="38">
        <f t="shared" si="40"/>
        <v>0</v>
      </c>
      <c r="R307" s="38">
        <f t="shared" si="41"/>
        <v>0</v>
      </c>
      <c r="S307">
        <v>0</v>
      </c>
      <c r="T307">
        <v>0</v>
      </c>
      <c r="U307">
        <v>0</v>
      </c>
      <c r="V307">
        <v>0</v>
      </c>
      <c r="W307">
        <f t="shared" si="42"/>
        <v>0</v>
      </c>
      <c r="X307" s="38">
        <f>MAX(0,R307)</f>
        <v>0</v>
      </c>
      <c r="Y307">
        <f>IF(M307&gt;0,M307-X307,0)</f>
        <v>0</v>
      </c>
      <c r="Z307">
        <f>IF(R307&lt;0,MIN(ABS(R307),L307-MAX(S307,IF(T307&gt;0,U307,0))),0)</f>
        <v>0</v>
      </c>
      <c r="AA307">
        <f>IF(M307&lt;0,ABS(M307)-Z307,0)</f>
        <v>0</v>
      </c>
      <c r="AB307" s="5">
        <f>($AA$323-$Y$323)*X307/$X$323</f>
        <v>0</v>
      </c>
      <c r="AC307" s="5">
        <f>L307+X307-Z307-AB307</f>
        <v>0</v>
      </c>
      <c r="AD307" s="5">
        <f t="shared" si="43"/>
        <v>0</v>
      </c>
      <c r="AE307" s="10">
        <f t="shared" si="44"/>
        <v>0</v>
      </c>
      <c r="AF307" s="10">
        <f t="shared" si="45"/>
        <v>0</v>
      </c>
      <c r="AG307">
        <f t="shared" si="46"/>
        <v>0</v>
      </c>
      <c r="AH307" s="9">
        <v>-5000</v>
      </c>
      <c r="AI307">
        <f t="shared" si="47"/>
        <v>0</v>
      </c>
      <c r="AJ307">
        <f t="shared" si="48"/>
        <v>0</v>
      </c>
      <c r="AK307" s="5">
        <f t="shared" si="49"/>
        <v>0</v>
      </c>
      <c r="AL307" s="5">
        <f t="shared" si="50"/>
        <v>0</v>
      </c>
      <c r="AM307">
        <f t="shared" si="51"/>
        <v>0</v>
      </c>
      <c r="AN307">
        <f t="shared" si="52"/>
        <v>0</v>
      </c>
      <c r="AO307" s="38">
        <f t="shared" si="53"/>
        <v>0</v>
      </c>
      <c r="AP307" s="38">
        <f t="shared" si="54"/>
        <v>0</v>
      </c>
    </row>
    <row r="308" spans="1:42">
      <c r="A308" t="str">
        <f>Table!P24</f>
        <v>arbitrage</v>
      </c>
      <c r="B308" t="str">
        <f>Table!Q24</f>
        <v>Arbitrage Fund</v>
      </c>
      <c r="C308" t="str">
        <f>Table!R24</f>
        <v>Arbitrage Fund_2</v>
      </c>
      <c r="D308">
        <f>Table!S24</f>
        <v>0</v>
      </c>
      <c r="E308">
        <f>Table!T24</f>
        <v>2</v>
      </c>
      <c r="F308" s="5">
        <f t="shared" si="33"/>
        <v>0</v>
      </c>
      <c r="G308" s="4">
        <f>F308/$F$323*100</f>
        <v>0</v>
      </c>
      <c r="H308" s="5">
        <f t="shared" si="34"/>
        <v>10</v>
      </c>
      <c r="I308" s="4">
        <f t="shared" si="35"/>
        <v>0</v>
      </c>
      <c r="J308" s="4">
        <f t="shared" si="36"/>
        <v>0</v>
      </c>
      <c r="K308" s="38">
        <f t="shared" si="37"/>
        <v>0</v>
      </c>
      <c r="L308">
        <f>Allocation!K308</f>
        <v>0</v>
      </c>
      <c r="M308" s="38">
        <f t="shared" si="38"/>
        <v>0</v>
      </c>
      <c r="N308" t="str">
        <f t="shared" si="39"/>
        <v/>
      </c>
      <c r="O308">
        <v>8</v>
      </c>
      <c r="P308" t="str">
        <f t="shared" si="32"/>
        <v/>
      </c>
      <c r="Q308" s="38">
        <f t="shared" si="40"/>
        <v>0</v>
      </c>
      <c r="R308" s="38">
        <f t="shared" si="41"/>
        <v>0</v>
      </c>
      <c r="S308">
        <v>0</v>
      </c>
      <c r="T308">
        <v>0</v>
      </c>
      <c r="U308">
        <v>0</v>
      </c>
      <c r="V308">
        <v>0</v>
      </c>
      <c r="W308">
        <f t="shared" si="42"/>
        <v>0</v>
      </c>
      <c r="X308" s="38">
        <f>MAX(0,R308)</f>
        <v>0</v>
      </c>
      <c r="Y308">
        <f>IF(M308&gt;0,M308-X308,0)</f>
        <v>0</v>
      </c>
      <c r="Z308">
        <f>IF(R308&lt;0,MIN(ABS(R308),L308-MAX(S308,IF(T308&gt;0,U308,0))),0)</f>
        <v>0</v>
      </c>
      <c r="AA308">
        <f>IF(M308&lt;0,ABS(M308)-Z308,0)</f>
        <v>0</v>
      </c>
      <c r="AB308" s="5">
        <f>($AA$323-$Y$323)*X308/$X$323</f>
        <v>0</v>
      </c>
      <c r="AC308" s="5">
        <f>L308+X308-Z308-AB308</f>
        <v>0</v>
      </c>
      <c r="AD308" s="5">
        <f t="shared" si="43"/>
        <v>0</v>
      </c>
      <c r="AE308" s="10">
        <f t="shared" si="44"/>
        <v>0</v>
      </c>
      <c r="AF308" s="10">
        <f t="shared" si="45"/>
        <v>0</v>
      </c>
      <c r="AG308">
        <f t="shared" si="46"/>
        <v>0</v>
      </c>
      <c r="AH308" s="9"/>
      <c r="AI308">
        <f t="shared" si="47"/>
        <v>0</v>
      </c>
      <c r="AJ308">
        <f t="shared" si="48"/>
        <v>0</v>
      </c>
      <c r="AK308" s="5">
        <f t="shared" si="49"/>
        <v>0</v>
      </c>
      <c r="AL308" s="5">
        <f t="shared" si="50"/>
        <v>0</v>
      </c>
      <c r="AM308">
        <f t="shared" si="51"/>
        <v>0</v>
      </c>
      <c r="AN308">
        <f t="shared" si="52"/>
        <v>0</v>
      </c>
      <c r="AO308" s="38">
        <f t="shared" si="53"/>
        <v>0</v>
      </c>
      <c r="AP308" s="38">
        <f t="shared" si="54"/>
        <v>0</v>
      </c>
    </row>
    <row r="309" spans="1:42">
      <c r="A309" t="str">
        <f>Table!P25</f>
        <v>arbitrage_plus_income</v>
      </c>
      <c r="B309" t="str">
        <f>Table!Q25</f>
        <v>Arbitrage Fund</v>
      </c>
      <c r="C309" t="str">
        <f>Table!R25</f>
        <v>HDFC Arbitrage Fund - Wholesale Growth</v>
      </c>
      <c r="D309" t="str">
        <f>Table!S25</f>
        <v>INF179KB1HP6</v>
      </c>
      <c r="E309">
        <f>Table!T25</f>
        <v>1</v>
      </c>
      <c r="F309" s="5">
        <f t="shared" si="33"/>
        <v>2345325</v>
      </c>
      <c r="G309" s="4">
        <f>F309/$F$323*100</f>
        <v>29.31647088602848</v>
      </c>
      <c r="H309" s="5">
        <f t="shared" si="34"/>
        <v>10</v>
      </c>
      <c r="I309" s="4">
        <f t="shared" si="35"/>
        <v>10</v>
      </c>
      <c r="J309" s="4">
        <f t="shared" si="36"/>
        <v>10</v>
      </c>
      <c r="K309" s="38">
        <f t="shared" si="37"/>
        <v>800002.5</v>
      </c>
      <c r="L309">
        <f>Allocation!K309</f>
        <v>1000002.5</v>
      </c>
      <c r="M309" s="38">
        <f t="shared" si="38"/>
        <v>-200000</v>
      </c>
      <c r="N309" t="b">
        <f t="shared" si="39"/>
        <v>0</v>
      </c>
      <c r="O309">
        <v>9</v>
      </c>
      <c r="P309" t="b">
        <f t="shared" si="32"/>
        <v>1</v>
      </c>
      <c r="Q309" s="38">
        <f t="shared" si="40"/>
        <v>800002.5</v>
      </c>
      <c r="R309" s="38">
        <f t="shared" si="41"/>
        <v>-200000</v>
      </c>
      <c r="S309">
        <v>0</v>
      </c>
      <c r="T309" s="9">
        <v>-8761</v>
      </c>
      <c r="U309" s="9">
        <v>850002.125</v>
      </c>
      <c r="V309" s="9">
        <v>-5238</v>
      </c>
      <c r="W309" s="9">
        <f t="shared" si="42"/>
        <v>150000.375</v>
      </c>
      <c r="X309" s="38">
        <f>MAX(0,R309)</f>
        <v>0</v>
      </c>
      <c r="Y309">
        <f>IF(M309&gt;0,M309-X309,0)</f>
        <v>0</v>
      </c>
      <c r="Z309">
        <f>IF(R309&lt;0,MIN(ABS(R309),L309-MAX(S309,IF(T309&gt;0,U309,0))),0)</f>
        <v>200000</v>
      </c>
      <c r="AA309">
        <f>IF(M309&lt;0,ABS(M309)-Z309,0)</f>
        <v>0</v>
      </c>
      <c r="AB309" s="5">
        <f>($AA$323-$Y$323)*X309/$X$323</f>
        <v>0</v>
      </c>
      <c r="AC309" s="5">
        <f>L309+X309-Z309-AB309</f>
        <v>800002.5</v>
      </c>
      <c r="AD309" s="5">
        <f t="shared" si="43"/>
        <v>150000.375</v>
      </c>
      <c r="AE309" s="10">
        <f t="shared" si="44"/>
        <v>-5238</v>
      </c>
      <c r="AF309" s="10">
        <f t="shared" si="45"/>
        <v>49999.625</v>
      </c>
      <c r="AG309">
        <f t="shared" si="46"/>
        <v>-8761</v>
      </c>
      <c r="AH309" s="9"/>
      <c r="AI309">
        <f t="shared" si="47"/>
        <v>200000</v>
      </c>
      <c r="AJ309">
        <f t="shared" si="48"/>
        <v>0</v>
      </c>
      <c r="AK309" s="5">
        <f t="shared" si="49"/>
        <v>0</v>
      </c>
      <c r="AL309" s="5">
        <f t="shared" si="50"/>
        <v>0</v>
      </c>
      <c r="AM309">
        <f t="shared" si="51"/>
        <v>200000</v>
      </c>
      <c r="AN309">
        <f t="shared" si="52"/>
        <v>0</v>
      </c>
      <c r="AO309" s="38">
        <f t="shared" si="53"/>
        <v>0</v>
      </c>
      <c r="AP309" s="38">
        <f t="shared" si="54"/>
        <v>800002.5</v>
      </c>
    </row>
    <row r="310" spans="1:42">
      <c r="A310" t="str">
        <f>Table!P26</f>
        <v>arbitrage_plus_income</v>
      </c>
      <c r="B310" t="str">
        <f>Table!Q26</f>
        <v>Arbitrage Fund</v>
      </c>
      <c r="C310" t="str">
        <f>Table!R26</f>
        <v>Arbitrage Fund_2</v>
      </c>
      <c r="D310">
        <f>Table!S26</f>
        <v>0</v>
      </c>
      <c r="E310">
        <f>Table!T26</f>
        <v>2</v>
      </c>
      <c r="F310" s="5">
        <f t="shared" si="33"/>
        <v>0</v>
      </c>
      <c r="G310" s="4">
        <f>F310/$F$323*100</f>
        <v>0</v>
      </c>
      <c r="H310" s="5">
        <f t="shared" si="34"/>
        <v>10</v>
      </c>
      <c r="I310" s="4">
        <f t="shared" si="35"/>
        <v>19.31647088602848</v>
      </c>
      <c r="J310" s="4">
        <f t="shared" si="36"/>
        <v>10</v>
      </c>
      <c r="K310" s="38">
        <f t="shared" si="37"/>
        <v>800002.5</v>
      </c>
      <c r="L310">
        <f>Allocation!K310</f>
        <v>109522.49999999999</v>
      </c>
      <c r="M310" s="38">
        <f t="shared" si="38"/>
        <v>690480</v>
      </c>
      <c r="N310" t="b">
        <f t="shared" si="39"/>
        <v>0</v>
      </c>
      <c r="O310">
        <v>10</v>
      </c>
      <c r="P310" t="b">
        <f t="shared" si="32"/>
        <v>1</v>
      </c>
      <c r="Q310" s="38">
        <f t="shared" si="40"/>
        <v>800002.5</v>
      </c>
      <c r="R310" s="38">
        <f t="shared" si="41"/>
        <v>690480</v>
      </c>
      <c r="S310" s="5">
        <f>L310*35%</f>
        <v>38332.874999999993</v>
      </c>
      <c r="T310" s="9">
        <v>786</v>
      </c>
      <c r="U310" s="9">
        <v>24094.949999999997</v>
      </c>
      <c r="V310" s="9">
        <v>-7384</v>
      </c>
      <c r="W310" s="9">
        <f t="shared" si="42"/>
        <v>85427.549999999988</v>
      </c>
      <c r="X310" s="38">
        <f>MAX(0,R310)</f>
        <v>690480</v>
      </c>
      <c r="Y310">
        <f>IF(M310&gt;0,M310-X310,0)</f>
        <v>0</v>
      </c>
      <c r="Z310">
        <f>IF(R310&lt;0,MIN(ABS(R310),L310-MAX(S310,IF(T310&gt;0,U310,0))),0)</f>
        <v>0</v>
      </c>
      <c r="AA310">
        <f>IF(M310&lt;0,ABS(M310)-Z310,0)</f>
        <v>0</v>
      </c>
      <c r="AB310" s="5">
        <f>($AA$323-$Y$323)*X310/$X$323</f>
        <v>144422.03368157113</v>
      </c>
      <c r="AC310" s="5">
        <f>L310+X310-Z310-AB310</f>
        <v>655580.46631842887</v>
      </c>
      <c r="AD310" s="5">
        <f t="shared" si="43"/>
        <v>0</v>
      </c>
      <c r="AE310" s="10">
        <f t="shared" si="44"/>
        <v>0</v>
      </c>
      <c r="AF310" s="10">
        <f t="shared" si="45"/>
        <v>0</v>
      </c>
      <c r="AG310">
        <f t="shared" si="46"/>
        <v>0</v>
      </c>
      <c r="AH310" s="9"/>
      <c r="AI310">
        <f t="shared" si="47"/>
        <v>0</v>
      </c>
      <c r="AJ310">
        <f t="shared" si="48"/>
        <v>0</v>
      </c>
      <c r="AK310" s="5">
        <f t="shared" si="49"/>
        <v>0</v>
      </c>
      <c r="AL310" s="5">
        <f t="shared" si="50"/>
        <v>0</v>
      </c>
      <c r="AM310">
        <f t="shared" si="51"/>
        <v>0</v>
      </c>
      <c r="AN310">
        <f t="shared" si="52"/>
        <v>0</v>
      </c>
      <c r="AO310" s="38">
        <f t="shared" si="53"/>
        <v>1202.2565816967272</v>
      </c>
      <c r="AP310" s="38">
        <f t="shared" si="54"/>
        <v>798800.24341830332</v>
      </c>
    </row>
    <row r="311" spans="1:42">
      <c r="A311" t="str">
        <f>Table!P27</f>
        <v>arbitrage_plus_income</v>
      </c>
      <c r="B311" t="str">
        <f>Table!Q27</f>
        <v>Arbitrage Fund</v>
      </c>
      <c r="C311" t="str">
        <f>Table!R27</f>
        <v>Arbitrage Fund_3</v>
      </c>
      <c r="D311">
        <f>Table!S27</f>
        <v>0</v>
      </c>
      <c r="E311">
        <f>Table!T27</f>
        <v>3</v>
      </c>
      <c r="F311" s="5">
        <f t="shared" ref="F311" si="55">IF(E311=1,SUMIF($A$243:$A$256,A311,$F$243:$F$256),0)</f>
        <v>0</v>
      </c>
      <c r="G311" s="4">
        <f>F311/$F$323*100</f>
        <v>0</v>
      </c>
      <c r="H311" s="5">
        <f t="shared" ref="H311" si="56">IF(A311=$A$302,$B$280,$B$281)</f>
        <v>10</v>
      </c>
      <c r="I311" s="4">
        <f t="shared" ref="I311" si="57">IF(E311=1,MIN(G311,H311),IF(E311=2,MAX(0,G310-H310),0))</f>
        <v>0</v>
      </c>
      <c r="J311" s="4">
        <f t="shared" ref="J311" si="58">IF(E311=2,MIN(I311,H311),IF(E311=3,MAX(0,I310-H310),I311))</f>
        <v>9.3164708860284797</v>
      </c>
      <c r="K311" s="38">
        <f t="shared" ref="K311" si="59">J311*$F$257/100</f>
        <v>745319.99999999988</v>
      </c>
      <c r="L311">
        <f>Allocation!K311</f>
        <v>0</v>
      </c>
      <c r="M311" s="38">
        <f t="shared" ref="M311" si="60">K311-L311</f>
        <v>745319.99999999988</v>
      </c>
      <c r="N311" t="b">
        <f t="shared" si="39"/>
        <v>0</v>
      </c>
      <c r="O311">
        <v>9</v>
      </c>
      <c r="P311" t="b">
        <f>IF(N311="","",IF(M311=K311,TRUE, IF(N311=$N$286,IF(ABS(M311/L311)&gt;$B$282,TRUE,FALSE),IF(O311&lt;=5,TRUE, FALSE))))</f>
        <v>1</v>
      </c>
      <c r="Q311" s="38">
        <f t="shared" si="40"/>
        <v>745319.99999999988</v>
      </c>
      <c r="R311" s="38">
        <f t="shared" si="41"/>
        <v>745319.99999999988</v>
      </c>
      <c r="S311" s="5">
        <f>L311*35%</f>
        <v>0</v>
      </c>
      <c r="T311" s="9">
        <v>0</v>
      </c>
      <c r="U311" s="9">
        <v>0</v>
      </c>
      <c r="V311" s="9">
        <v>0</v>
      </c>
      <c r="W311" s="9">
        <f t="shared" si="42"/>
        <v>0</v>
      </c>
      <c r="X311" s="38">
        <f>MAX(0,R311)</f>
        <v>745319.99999999988</v>
      </c>
      <c r="Y311">
        <f>IF(M311&gt;0,M311-X311,0)</f>
        <v>0</v>
      </c>
      <c r="Z311">
        <f>IF(R311&lt;0,MIN(ABS(R311),L311-MAX(S311,IF(T311&gt;0,U311,0))),0)</f>
        <v>0</v>
      </c>
      <c r="AA311">
        <f>IF(M311&lt;0,ABS(M311)-Z311,0)</f>
        <v>0</v>
      </c>
      <c r="AB311" s="5">
        <f>($AA$323-$Y$323)*X311/$X$323</f>
        <v>155892.4663184286</v>
      </c>
      <c r="AC311" s="5">
        <f>L311+X311-Z311-AB311</f>
        <v>589427.53368157125</v>
      </c>
      <c r="AD311" s="5">
        <f t="shared" si="43"/>
        <v>0</v>
      </c>
      <c r="AE311" s="10">
        <f t="shared" si="44"/>
        <v>0</v>
      </c>
      <c r="AF311" s="10">
        <f t="shared" si="45"/>
        <v>0</v>
      </c>
      <c r="AG311">
        <f t="shared" si="46"/>
        <v>0</v>
      </c>
      <c r="AH311" s="9"/>
      <c r="AI311">
        <f t="shared" si="47"/>
        <v>0</v>
      </c>
      <c r="AJ311">
        <f t="shared" si="48"/>
        <v>0</v>
      </c>
      <c r="AK311" s="5">
        <f t="shared" si="49"/>
        <v>0</v>
      </c>
      <c r="AL311" s="5">
        <f t="shared" si="50"/>
        <v>0</v>
      </c>
      <c r="AM311">
        <f t="shared" si="51"/>
        <v>0</v>
      </c>
      <c r="AN311">
        <f t="shared" si="52"/>
        <v>0</v>
      </c>
      <c r="AO311" s="38">
        <f t="shared" si="53"/>
        <v>1297.7434183035057</v>
      </c>
      <c r="AP311" s="38">
        <f t="shared" si="54"/>
        <v>744022.25658169633</v>
      </c>
    </row>
    <row r="312" spans="1:42">
      <c r="A312" t="str">
        <f>Table!P28</f>
        <v>gold_commodities</v>
      </c>
      <c r="B312" t="str">
        <f>Table!Q28</f>
        <v>Gold ETF</v>
      </c>
      <c r="C312" t="str">
        <f>Table!R28</f>
        <v>ICICI Prudential Gold ETF</v>
      </c>
      <c r="D312" t="str">
        <f>Table!S28</f>
        <v>INF109KC1NT3</v>
      </c>
      <c r="E312">
        <f>Table!T28</f>
        <v>1</v>
      </c>
      <c r="F312" s="5">
        <f t="shared" si="33"/>
        <v>298600</v>
      </c>
      <c r="G312" s="4">
        <f>F312/$F$323*100</f>
        <v>3.73248833597395</v>
      </c>
      <c r="H312" s="5">
        <f t="shared" si="34"/>
        <v>10</v>
      </c>
      <c r="I312" s="4">
        <f>IF(E312=1,MIN(G312,H312),IF(E312=2,MAX(0,G310-H310),0))</f>
        <v>3.73248833597395</v>
      </c>
      <c r="J312" s="4">
        <f>IF(E312=2,MIN(I312,H312),IF(E312=3,MAX(0,I310-H310),I312))</f>
        <v>3.73248833597395</v>
      </c>
      <c r="K312" s="38">
        <f t="shared" si="37"/>
        <v>298600</v>
      </c>
      <c r="L312">
        <f>Allocation!K312</f>
        <v>311700</v>
      </c>
      <c r="M312" s="38">
        <f t="shared" si="38"/>
        <v>-13100</v>
      </c>
      <c r="N312" t="b">
        <f t="shared" si="39"/>
        <v>0</v>
      </c>
      <c r="O312">
        <v>8</v>
      </c>
      <c r="P312" t="b">
        <f t="shared" ref="P312:P322" si="61">IF(N312="","",IF(M312=K312,TRUE, IF(N312=$N$286,IF(ABS(M312/L312)&gt;$B$282,TRUE,FALSE),IF(O312&lt;=5,TRUE, FALSE))))</f>
        <v>0</v>
      </c>
      <c r="Q312" s="38">
        <f t="shared" si="40"/>
        <v>311700</v>
      </c>
      <c r="R312" s="38">
        <f t="shared" si="41"/>
        <v>0</v>
      </c>
      <c r="S312" s="5">
        <v>0</v>
      </c>
      <c r="T312" s="9">
        <v>-2993</v>
      </c>
      <c r="U312" s="9">
        <v>24936</v>
      </c>
      <c r="V312" s="9">
        <v>-1152</v>
      </c>
      <c r="W312" s="9">
        <f t="shared" si="42"/>
        <v>286764</v>
      </c>
      <c r="X312" s="38">
        <f>MAX(0,R312)</f>
        <v>0</v>
      </c>
      <c r="Y312">
        <f>IF(M312&gt;0,M312-X312,0)</f>
        <v>0</v>
      </c>
      <c r="Z312">
        <f>IF(R312&lt;0,MIN(ABS(R312),L312-MAX(S312,IF(T312&gt;0,U312,0))),0)</f>
        <v>0</v>
      </c>
      <c r="AA312">
        <f>IF(M312&lt;0,ABS(M312)-Z312,0)</f>
        <v>13100</v>
      </c>
      <c r="AB312" s="5">
        <f>($AA$323-$Y$323)*X312/$X$323</f>
        <v>0</v>
      </c>
      <c r="AC312" s="5">
        <f>L312+X312-Z312-AB312</f>
        <v>311700</v>
      </c>
      <c r="AD312" s="5">
        <f t="shared" si="43"/>
        <v>0</v>
      </c>
      <c r="AE312" s="10">
        <f t="shared" si="44"/>
        <v>0</v>
      </c>
      <c r="AF312" s="10">
        <f t="shared" si="45"/>
        <v>0</v>
      </c>
      <c r="AG312">
        <f t="shared" si="46"/>
        <v>0</v>
      </c>
      <c r="AH312" s="9"/>
      <c r="AI312">
        <f t="shared" si="47"/>
        <v>0</v>
      </c>
      <c r="AJ312">
        <f t="shared" si="48"/>
        <v>0</v>
      </c>
      <c r="AK312" s="5">
        <f t="shared" si="49"/>
        <v>0</v>
      </c>
      <c r="AL312" s="5">
        <f t="shared" si="50"/>
        <v>0</v>
      </c>
      <c r="AM312">
        <f t="shared" si="51"/>
        <v>0</v>
      </c>
      <c r="AN312">
        <f t="shared" si="52"/>
        <v>13100</v>
      </c>
      <c r="AO312" s="38">
        <f t="shared" si="53"/>
        <v>0</v>
      </c>
      <c r="AP312" s="38">
        <f t="shared" si="54"/>
        <v>311700</v>
      </c>
    </row>
    <row r="313" spans="1:42">
      <c r="A313" t="str">
        <f>Table!P29</f>
        <v>gold_commodities</v>
      </c>
      <c r="B313" t="str">
        <f>Table!Q29</f>
        <v>Gold ETF</v>
      </c>
      <c r="C313" t="str">
        <f>Table!R29</f>
        <v>Gold ETF_2</v>
      </c>
      <c r="D313">
        <f>Table!S29</f>
        <v>0</v>
      </c>
      <c r="E313">
        <f>Table!T29</f>
        <v>2</v>
      </c>
      <c r="F313" s="5">
        <f t="shared" si="33"/>
        <v>0</v>
      </c>
      <c r="G313" s="4">
        <f>F313/$F$323*100</f>
        <v>0</v>
      </c>
      <c r="H313" s="5">
        <f t="shared" si="34"/>
        <v>10</v>
      </c>
      <c r="I313" s="4">
        <f t="shared" si="35"/>
        <v>0</v>
      </c>
      <c r="J313" s="4">
        <f t="shared" si="36"/>
        <v>0</v>
      </c>
      <c r="K313" s="38">
        <f t="shared" si="37"/>
        <v>0</v>
      </c>
      <c r="L313">
        <f>Allocation!K313</f>
        <v>0</v>
      </c>
      <c r="M313" s="38">
        <f t="shared" si="38"/>
        <v>0</v>
      </c>
      <c r="N313" t="str">
        <f t="shared" si="39"/>
        <v/>
      </c>
      <c r="O313">
        <v>10</v>
      </c>
      <c r="P313" t="str">
        <f t="shared" si="61"/>
        <v/>
      </c>
      <c r="Q313" s="38">
        <f t="shared" si="40"/>
        <v>0</v>
      </c>
      <c r="R313" s="38">
        <f t="shared" si="41"/>
        <v>0</v>
      </c>
      <c r="S313">
        <v>0</v>
      </c>
      <c r="T313">
        <v>0</v>
      </c>
      <c r="U313">
        <v>0</v>
      </c>
      <c r="V313">
        <v>0</v>
      </c>
      <c r="W313">
        <f t="shared" si="42"/>
        <v>0</v>
      </c>
      <c r="X313" s="38">
        <f>MAX(0,R313)</f>
        <v>0</v>
      </c>
      <c r="Y313">
        <f>IF(M313&gt;0,M313-X313,0)</f>
        <v>0</v>
      </c>
      <c r="Z313">
        <f>IF(R313&lt;0,MIN(ABS(R313),L313-MAX(S313,IF(T313&gt;0,U313,0))),0)</f>
        <v>0</v>
      </c>
      <c r="AA313">
        <f>IF(M313&lt;0,ABS(M313)-Z313,0)</f>
        <v>0</v>
      </c>
      <c r="AB313" s="5">
        <f>($AA$323-$Y$323)*X313/$X$323</f>
        <v>0</v>
      </c>
      <c r="AC313" s="5">
        <f>L313+X313-Z313-AB313</f>
        <v>0</v>
      </c>
      <c r="AD313" s="5">
        <f t="shared" si="43"/>
        <v>0</v>
      </c>
      <c r="AE313" s="10">
        <f t="shared" si="44"/>
        <v>0</v>
      </c>
      <c r="AF313" s="10">
        <f t="shared" si="45"/>
        <v>0</v>
      </c>
      <c r="AG313">
        <f t="shared" si="46"/>
        <v>0</v>
      </c>
      <c r="AH313" s="9"/>
      <c r="AI313">
        <f t="shared" si="47"/>
        <v>0</v>
      </c>
      <c r="AJ313">
        <f t="shared" si="48"/>
        <v>0</v>
      </c>
      <c r="AK313" s="5">
        <f t="shared" si="49"/>
        <v>0</v>
      </c>
      <c r="AL313" s="5">
        <f t="shared" si="50"/>
        <v>0</v>
      </c>
      <c r="AM313">
        <f t="shared" si="51"/>
        <v>0</v>
      </c>
      <c r="AN313">
        <f t="shared" si="52"/>
        <v>0</v>
      </c>
      <c r="AO313" s="38">
        <f t="shared" si="53"/>
        <v>0</v>
      </c>
      <c r="AP313" s="38">
        <f t="shared" si="54"/>
        <v>0</v>
      </c>
    </row>
    <row r="314" spans="1:42">
      <c r="A314" t="str">
        <f>Table!P30</f>
        <v>silver_commodities</v>
      </c>
      <c r="B314" t="str">
        <f>Table!Q30</f>
        <v>Silver Linked (Index/ETF)</v>
      </c>
      <c r="C314" t="str">
        <f>Table!R30</f>
        <v>ICICI Prudential Silver ETF</v>
      </c>
      <c r="D314" t="str">
        <f>Table!S30</f>
        <v>INF109KC1Y56</v>
      </c>
      <c r="E314">
        <f>Table!T30</f>
        <v>1</v>
      </c>
      <c r="F314" s="5">
        <f t="shared" si="33"/>
        <v>0</v>
      </c>
      <c r="G314" s="4">
        <f>F314/$F$323*100</f>
        <v>0</v>
      </c>
      <c r="H314" s="5">
        <f t="shared" si="34"/>
        <v>10</v>
      </c>
      <c r="I314" s="4">
        <f t="shared" si="35"/>
        <v>0</v>
      </c>
      <c r="J314" s="4">
        <f t="shared" si="36"/>
        <v>0</v>
      </c>
      <c r="K314" s="38">
        <f t="shared" si="37"/>
        <v>0</v>
      </c>
      <c r="L314">
        <f>Allocation!K314</f>
        <v>0</v>
      </c>
      <c r="M314" s="38">
        <f t="shared" si="38"/>
        <v>0</v>
      </c>
      <c r="N314" t="str">
        <f t="shared" si="39"/>
        <v/>
      </c>
      <c r="O314">
        <v>8</v>
      </c>
      <c r="P314" t="str">
        <f t="shared" si="61"/>
        <v/>
      </c>
      <c r="Q314" s="38">
        <f t="shared" si="40"/>
        <v>0</v>
      </c>
      <c r="R314" s="38">
        <f t="shared" si="41"/>
        <v>0</v>
      </c>
      <c r="S314">
        <v>0</v>
      </c>
      <c r="T314">
        <v>0</v>
      </c>
      <c r="U314">
        <v>0</v>
      </c>
      <c r="V314">
        <v>0</v>
      </c>
      <c r="W314">
        <f t="shared" si="42"/>
        <v>0</v>
      </c>
      <c r="X314" s="38">
        <f>MAX(0,R314)</f>
        <v>0</v>
      </c>
      <c r="Y314">
        <f>IF(M314&gt;0,M314-X314,0)</f>
        <v>0</v>
      </c>
      <c r="Z314">
        <f>IF(R314&lt;0,MIN(ABS(R314),L314-MAX(S314,IF(T314&gt;0,U314,0))),0)</f>
        <v>0</v>
      </c>
      <c r="AA314">
        <f>IF(M314&lt;0,ABS(M314)-Z314,0)</f>
        <v>0</v>
      </c>
      <c r="AB314" s="5">
        <f>($AA$323-$Y$323)*X314/$X$323</f>
        <v>0</v>
      </c>
      <c r="AC314" s="5">
        <f>L314+X314-Z314-AB314</f>
        <v>0</v>
      </c>
      <c r="AD314" s="5">
        <f t="shared" si="43"/>
        <v>0</v>
      </c>
      <c r="AE314" s="10">
        <f t="shared" si="44"/>
        <v>0</v>
      </c>
      <c r="AF314" s="10">
        <f t="shared" si="45"/>
        <v>0</v>
      </c>
      <c r="AG314">
        <f t="shared" si="46"/>
        <v>0</v>
      </c>
      <c r="AH314" s="9"/>
      <c r="AI314">
        <f t="shared" si="47"/>
        <v>0</v>
      </c>
      <c r="AJ314">
        <f t="shared" si="48"/>
        <v>0</v>
      </c>
      <c r="AK314" s="5">
        <f t="shared" si="49"/>
        <v>0</v>
      </c>
      <c r="AL314" s="5">
        <f t="shared" si="50"/>
        <v>0</v>
      </c>
      <c r="AM314">
        <f t="shared" si="51"/>
        <v>0</v>
      </c>
      <c r="AN314">
        <f t="shared" si="52"/>
        <v>0</v>
      </c>
      <c r="AO314" s="38">
        <f t="shared" si="53"/>
        <v>0</v>
      </c>
      <c r="AP314" s="38">
        <f t="shared" si="54"/>
        <v>0</v>
      </c>
    </row>
    <row r="315" spans="1:42">
      <c r="A315" t="str">
        <f>Table!P31</f>
        <v>silver_commodities</v>
      </c>
      <c r="B315" t="str">
        <f>Table!Q31</f>
        <v>Silver Linked (Index/ETF)</v>
      </c>
      <c r="C315" t="str">
        <f>Table!R31</f>
        <v>Silver Linked (Index/ETF)_2</v>
      </c>
      <c r="D315">
        <f>Table!S31</f>
        <v>0</v>
      </c>
      <c r="E315">
        <f>Table!T31</f>
        <v>2</v>
      </c>
      <c r="F315" s="5">
        <f t="shared" si="33"/>
        <v>0</v>
      </c>
      <c r="G315" s="4">
        <f>F315/$F$323*100</f>
        <v>0</v>
      </c>
      <c r="H315" s="5">
        <f t="shared" si="34"/>
        <v>10</v>
      </c>
      <c r="I315" s="4">
        <f t="shared" si="35"/>
        <v>0</v>
      </c>
      <c r="J315" s="4">
        <f t="shared" si="36"/>
        <v>0</v>
      </c>
      <c r="K315" s="38">
        <f t="shared" si="37"/>
        <v>0</v>
      </c>
      <c r="L315">
        <f>Allocation!K315</f>
        <v>0</v>
      </c>
      <c r="M315" s="38">
        <f t="shared" si="38"/>
        <v>0</v>
      </c>
      <c r="N315" t="str">
        <f t="shared" si="39"/>
        <v/>
      </c>
      <c r="O315">
        <v>9</v>
      </c>
      <c r="P315" t="str">
        <f t="shared" si="61"/>
        <v/>
      </c>
      <c r="Q315" s="38">
        <f t="shared" si="40"/>
        <v>0</v>
      </c>
      <c r="R315" s="38">
        <f t="shared" si="41"/>
        <v>0</v>
      </c>
      <c r="S315">
        <v>0</v>
      </c>
      <c r="T315">
        <v>0</v>
      </c>
      <c r="U315">
        <v>0</v>
      </c>
      <c r="V315">
        <v>0</v>
      </c>
      <c r="W315">
        <f t="shared" si="42"/>
        <v>0</v>
      </c>
      <c r="X315" s="38">
        <f>MAX(0,R315)</f>
        <v>0</v>
      </c>
      <c r="Y315">
        <f>IF(M315&gt;0,M315-X315,0)</f>
        <v>0</v>
      </c>
      <c r="Z315">
        <f>IF(R315&lt;0,MIN(ABS(R315),L315-MAX(S315,IF(T315&gt;0,U315,0))),0)</f>
        <v>0</v>
      </c>
      <c r="AA315">
        <f>IF(M315&lt;0,ABS(M315)-Z315,0)</f>
        <v>0</v>
      </c>
      <c r="AB315" s="5">
        <f>($AA$323-$Y$323)*X315/$X$323</f>
        <v>0</v>
      </c>
      <c r="AC315" s="5">
        <f>L315+X315-Z315-AB315</f>
        <v>0</v>
      </c>
      <c r="AD315" s="5">
        <f t="shared" si="43"/>
        <v>0</v>
      </c>
      <c r="AE315" s="10">
        <f t="shared" si="44"/>
        <v>0</v>
      </c>
      <c r="AF315" s="10">
        <f t="shared" si="45"/>
        <v>0</v>
      </c>
      <c r="AG315">
        <f t="shared" si="46"/>
        <v>0</v>
      </c>
      <c r="AH315" s="9"/>
      <c r="AI315">
        <f t="shared" si="47"/>
        <v>0</v>
      </c>
      <c r="AJ315">
        <f t="shared" si="48"/>
        <v>0</v>
      </c>
      <c r="AK315" s="5">
        <f t="shared" si="49"/>
        <v>0</v>
      </c>
      <c r="AL315" s="5">
        <f t="shared" si="50"/>
        <v>0</v>
      </c>
      <c r="AM315">
        <f t="shared" si="51"/>
        <v>0</v>
      </c>
      <c r="AN315">
        <f t="shared" si="52"/>
        <v>0</v>
      </c>
      <c r="AO315" s="38">
        <f t="shared" si="53"/>
        <v>0</v>
      </c>
      <c r="AP315" s="38">
        <f t="shared" si="54"/>
        <v>0</v>
      </c>
    </row>
    <row r="316" spans="1:42">
      <c r="A316" t="str">
        <f>Table!P32</f>
        <v>china_equities</v>
      </c>
      <c r="B316" t="str">
        <f>Table!Q32</f>
        <v>China Linked (FoF)</v>
      </c>
      <c r="C316" t="str">
        <f>Table!R32</f>
        <v>Edelweiss Greater China Equity Off-shore Fund - Direct Plan - Growth</v>
      </c>
      <c r="D316" t="str">
        <f>Table!S32</f>
        <v>INF843K01138</v>
      </c>
      <c r="E316">
        <f>Table!T32</f>
        <v>1</v>
      </c>
      <c r="F316" s="5">
        <f t="shared" si="33"/>
        <v>0</v>
      </c>
      <c r="G316" s="4">
        <f>F316/$F$323*100</f>
        <v>0</v>
      </c>
      <c r="H316" s="5">
        <f t="shared" si="34"/>
        <v>10</v>
      </c>
      <c r="I316" s="4">
        <f t="shared" si="35"/>
        <v>0</v>
      </c>
      <c r="J316" s="4">
        <f t="shared" si="36"/>
        <v>0</v>
      </c>
      <c r="K316" s="38">
        <f t="shared" si="37"/>
        <v>0</v>
      </c>
      <c r="L316">
        <f>Allocation!K316</f>
        <v>0</v>
      </c>
      <c r="M316" s="38">
        <f t="shared" si="38"/>
        <v>0</v>
      </c>
      <c r="N316" t="str">
        <f t="shared" si="39"/>
        <v/>
      </c>
      <c r="O316">
        <v>10</v>
      </c>
      <c r="P316" t="str">
        <f t="shared" si="61"/>
        <v/>
      </c>
      <c r="Q316" s="38">
        <f t="shared" si="40"/>
        <v>0</v>
      </c>
      <c r="R316" s="38">
        <f t="shared" si="41"/>
        <v>0</v>
      </c>
      <c r="S316">
        <v>0</v>
      </c>
      <c r="T316">
        <v>0</v>
      </c>
      <c r="U316">
        <v>0</v>
      </c>
      <c r="V316">
        <v>0</v>
      </c>
      <c r="W316">
        <f t="shared" si="42"/>
        <v>0</v>
      </c>
      <c r="X316" s="38">
        <f>MAX(0,R316)</f>
        <v>0</v>
      </c>
      <c r="Y316">
        <f>IF(M316&gt;0,M316-X316,0)</f>
        <v>0</v>
      </c>
      <c r="Z316">
        <f>IF(R316&lt;0,MIN(ABS(R316),L316-MAX(S316,IF(T316&gt;0,U316,0))),0)</f>
        <v>0</v>
      </c>
      <c r="AA316">
        <f>IF(M316&lt;0,ABS(M316)-Z316,0)</f>
        <v>0</v>
      </c>
      <c r="AB316" s="5">
        <f>($AA$323-$Y$323)*X316/$X$323</f>
        <v>0</v>
      </c>
      <c r="AC316" s="5">
        <f>L316+X316-Z316-AB316</f>
        <v>0</v>
      </c>
      <c r="AD316" s="5">
        <f t="shared" si="43"/>
        <v>0</v>
      </c>
      <c r="AE316" s="10">
        <f t="shared" si="44"/>
        <v>0</v>
      </c>
      <c r="AF316" s="10">
        <f t="shared" si="45"/>
        <v>0</v>
      </c>
      <c r="AG316">
        <f t="shared" si="46"/>
        <v>0</v>
      </c>
      <c r="AH316" s="9"/>
      <c r="AI316">
        <f t="shared" si="47"/>
        <v>0</v>
      </c>
      <c r="AJ316">
        <f t="shared" si="48"/>
        <v>0</v>
      </c>
      <c r="AK316" s="5">
        <f t="shared" si="49"/>
        <v>0</v>
      </c>
      <c r="AL316" s="5">
        <f t="shared" si="50"/>
        <v>0</v>
      </c>
      <c r="AM316">
        <f t="shared" si="51"/>
        <v>0</v>
      </c>
      <c r="AN316">
        <f t="shared" si="52"/>
        <v>0</v>
      </c>
      <c r="AO316" s="38">
        <f t="shared" si="53"/>
        <v>0</v>
      </c>
      <c r="AP316" s="38">
        <f t="shared" si="54"/>
        <v>0</v>
      </c>
    </row>
    <row r="317" spans="1:42">
      <c r="A317" t="str">
        <f>Table!P33</f>
        <v>china_equities</v>
      </c>
      <c r="B317" t="str">
        <f>Table!Q33</f>
        <v>China Linked (FoF)</v>
      </c>
      <c r="C317" t="str">
        <f>Table!R33</f>
        <v>China Linked (FoF)_2</v>
      </c>
      <c r="D317">
        <f>Table!S33</f>
        <v>0</v>
      </c>
      <c r="E317">
        <f>Table!T33</f>
        <v>2</v>
      </c>
      <c r="F317" s="5">
        <f t="shared" si="33"/>
        <v>0</v>
      </c>
      <c r="G317" s="4">
        <f>F317/$F$323*100</f>
        <v>0</v>
      </c>
      <c r="H317" s="5">
        <f t="shared" si="34"/>
        <v>10</v>
      </c>
      <c r="I317" s="4">
        <f t="shared" si="35"/>
        <v>0</v>
      </c>
      <c r="J317" s="4">
        <f t="shared" si="36"/>
        <v>0</v>
      </c>
      <c r="K317" s="38">
        <f t="shared" si="37"/>
        <v>0</v>
      </c>
      <c r="L317">
        <f>Allocation!K317</f>
        <v>0</v>
      </c>
      <c r="M317" s="38">
        <f t="shared" si="38"/>
        <v>0</v>
      </c>
      <c r="N317" t="str">
        <f t="shared" si="39"/>
        <v/>
      </c>
      <c r="O317">
        <v>9</v>
      </c>
      <c r="P317" t="str">
        <f t="shared" si="61"/>
        <v/>
      </c>
      <c r="Q317" s="38">
        <f t="shared" si="40"/>
        <v>0</v>
      </c>
      <c r="R317" s="38">
        <f t="shared" si="41"/>
        <v>0</v>
      </c>
      <c r="S317">
        <v>0</v>
      </c>
      <c r="T317">
        <v>0</v>
      </c>
      <c r="U317">
        <v>0</v>
      </c>
      <c r="V317">
        <v>0</v>
      </c>
      <c r="W317">
        <f t="shared" si="42"/>
        <v>0</v>
      </c>
      <c r="X317" s="38">
        <f>MAX(0,R317)</f>
        <v>0</v>
      </c>
      <c r="Y317">
        <f>IF(M317&gt;0,M317-X317,0)</f>
        <v>0</v>
      </c>
      <c r="Z317">
        <f>IF(R317&lt;0,MIN(ABS(R317),L317-MAX(S317,IF(T317&gt;0,U317,0))),0)</f>
        <v>0</v>
      </c>
      <c r="AA317">
        <f>IF(M317&lt;0,ABS(M317)-Z317,0)</f>
        <v>0</v>
      </c>
      <c r="AB317" s="5">
        <f>($AA$323-$Y$323)*X317/$X$323</f>
        <v>0</v>
      </c>
      <c r="AC317" s="5">
        <f>L317+X317-Z317-AB317</f>
        <v>0</v>
      </c>
      <c r="AD317" s="5">
        <f t="shared" si="43"/>
        <v>0</v>
      </c>
      <c r="AE317" s="10">
        <f t="shared" si="44"/>
        <v>0</v>
      </c>
      <c r="AF317" s="10">
        <f t="shared" si="45"/>
        <v>0</v>
      </c>
      <c r="AG317">
        <f t="shared" si="46"/>
        <v>0</v>
      </c>
      <c r="AH317" s="9"/>
      <c r="AI317">
        <f t="shared" si="47"/>
        <v>0</v>
      </c>
      <c r="AJ317">
        <f t="shared" si="48"/>
        <v>0</v>
      </c>
      <c r="AK317" s="5">
        <f t="shared" si="49"/>
        <v>0</v>
      </c>
      <c r="AL317" s="5">
        <f t="shared" si="50"/>
        <v>0</v>
      </c>
      <c r="AM317">
        <f t="shared" si="51"/>
        <v>0</v>
      </c>
      <c r="AN317">
        <f t="shared" si="52"/>
        <v>0</v>
      </c>
      <c r="AO317" s="38">
        <f t="shared" si="53"/>
        <v>0</v>
      </c>
      <c r="AP317" s="38">
        <f t="shared" si="54"/>
        <v>0</v>
      </c>
    </row>
    <row r="318" spans="1:42">
      <c r="A318" t="str">
        <f>Table!P34</f>
        <v>others_fofs</v>
      </c>
      <c r="B318" t="str">
        <f>Table!Q34</f>
        <v>Others (FoF)</v>
      </c>
      <c r="C318" t="str">
        <f>Table!R34</f>
        <v>Motilal Oswal Nasdaq 100 Fund of Fund - Direct Plan Growth</v>
      </c>
      <c r="D318" t="str">
        <f>Table!S34</f>
        <v>INF247L01718</v>
      </c>
      <c r="E318">
        <f>Table!T34</f>
        <v>1</v>
      </c>
      <c r="F318" s="5">
        <f t="shared" si="33"/>
        <v>0</v>
      </c>
      <c r="G318" s="4">
        <f>F318/$F$323*100</f>
        <v>0</v>
      </c>
      <c r="H318" s="5">
        <f t="shared" si="34"/>
        <v>10</v>
      </c>
      <c r="I318" s="4">
        <f t="shared" si="35"/>
        <v>0</v>
      </c>
      <c r="J318" s="4">
        <f t="shared" si="36"/>
        <v>0</v>
      </c>
      <c r="K318" s="38">
        <f t="shared" si="37"/>
        <v>0</v>
      </c>
      <c r="L318">
        <f>Allocation!K318</f>
        <v>0</v>
      </c>
      <c r="M318" s="38">
        <f t="shared" si="38"/>
        <v>0</v>
      </c>
      <c r="N318" t="str">
        <f t="shared" si="39"/>
        <v/>
      </c>
      <c r="O318">
        <v>9</v>
      </c>
      <c r="P318" t="str">
        <f t="shared" si="61"/>
        <v/>
      </c>
      <c r="Q318" s="38">
        <f t="shared" si="40"/>
        <v>0</v>
      </c>
      <c r="R318" s="38">
        <f t="shared" si="41"/>
        <v>0</v>
      </c>
      <c r="S318">
        <v>0</v>
      </c>
      <c r="T318">
        <v>0</v>
      </c>
      <c r="U318">
        <v>0</v>
      </c>
      <c r="V318">
        <v>0</v>
      </c>
      <c r="W318">
        <f t="shared" si="42"/>
        <v>0</v>
      </c>
      <c r="X318" s="38">
        <f>MAX(0,R318)</f>
        <v>0</v>
      </c>
      <c r="Y318">
        <f>IF(M318&gt;0,M318-X318,0)</f>
        <v>0</v>
      </c>
      <c r="Z318">
        <f>IF(R318&lt;0,MIN(ABS(R318),L318-MAX(S318,IF(T318&gt;0,U318,0))),0)</f>
        <v>0</v>
      </c>
      <c r="AA318">
        <f>IF(M318&lt;0,ABS(M318)-Z318,0)</f>
        <v>0</v>
      </c>
      <c r="AB318" s="5">
        <f>($AA$323-$Y$323)*X318/$X$323</f>
        <v>0</v>
      </c>
      <c r="AC318" s="5">
        <f>L318+X318-Z318-AB318</f>
        <v>0</v>
      </c>
      <c r="AD318" s="5">
        <f t="shared" si="43"/>
        <v>0</v>
      </c>
      <c r="AE318" s="10">
        <f t="shared" si="44"/>
        <v>0</v>
      </c>
      <c r="AF318" s="10">
        <f t="shared" si="45"/>
        <v>0</v>
      </c>
      <c r="AG318">
        <f t="shared" si="46"/>
        <v>0</v>
      </c>
      <c r="AH318" s="9"/>
      <c r="AI318">
        <f t="shared" si="47"/>
        <v>0</v>
      </c>
      <c r="AJ318">
        <f t="shared" si="48"/>
        <v>0</v>
      </c>
      <c r="AK318" s="5">
        <f t="shared" si="49"/>
        <v>0</v>
      </c>
      <c r="AL318" s="5">
        <f t="shared" si="50"/>
        <v>0</v>
      </c>
      <c r="AM318">
        <f t="shared" si="51"/>
        <v>0</v>
      </c>
      <c r="AN318">
        <f t="shared" si="52"/>
        <v>0</v>
      </c>
      <c r="AO318" s="38">
        <f t="shared" si="53"/>
        <v>0</v>
      </c>
      <c r="AP318" s="38">
        <f t="shared" si="54"/>
        <v>0</v>
      </c>
    </row>
    <row r="319" spans="1:42">
      <c r="A319" t="str">
        <f>Table!P35</f>
        <v>others_fofs</v>
      </c>
      <c r="B319" t="str">
        <f>Table!Q35</f>
        <v>Others (FoF)</v>
      </c>
      <c r="C319" t="str">
        <f>Table!R35</f>
        <v>Others (FoF)_2</v>
      </c>
      <c r="D319">
        <f>Table!S35</f>
        <v>0</v>
      </c>
      <c r="E319">
        <f>Table!T35</f>
        <v>2</v>
      </c>
      <c r="F319" s="5">
        <f t="shared" si="33"/>
        <v>0</v>
      </c>
      <c r="G319" s="4">
        <f>F319/$F$323*100</f>
        <v>0</v>
      </c>
      <c r="H319" s="5">
        <f t="shared" si="34"/>
        <v>10</v>
      </c>
      <c r="I319" s="4">
        <f t="shared" si="35"/>
        <v>0</v>
      </c>
      <c r="J319" s="4">
        <f t="shared" si="36"/>
        <v>0</v>
      </c>
      <c r="K319" s="38">
        <f t="shared" si="37"/>
        <v>0</v>
      </c>
      <c r="L319">
        <f>Allocation!K319</f>
        <v>0</v>
      </c>
      <c r="M319" s="38">
        <f t="shared" si="38"/>
        <v>0</v>
      </c>
      <c r="N319" t="str">
        <f t="shared" si="39"/>
        <v/>
      </c>
      <c r="O319">
        <v>8</v>
      </c>
      <c r="P319" t="str">
        <f t="shared" si="61"/>
        <v/>
      </c>
      <c r="Q319" s="38">
        <f t="shared" si="40"/>
        <v>0</v>
      </c>
      <c r="R319" s="38">
        <f t="shared" si="41"/>
        <v>0</v>
      </c>
      <c r="S319">
        <v>0</v>
      </c>
      <c r="T319">
        <v>0</v>
      </c>
      <c r="U319">
        <v>0</v>
      </c>
      <c r="V319">
        <v>0</v>
      </c>
      <c r="W319">
        <f t="shared" si="42"/>
        <v>0</v>
      </c>
      <c r="X319" s="38">
        <f>MAX(0,R319)</f>
        <v>0</v>
      </c>
      <c r="Y319">
        <f>IF(M319&gt;0,M319-X319,0)</f>
        <v>0</v>
      </c>
      <c r="Z319">
        <f>IF(R319&lt;0,MIN(ABS(R319),L319-MAX(S319,IF(T319&gt;0,U319,0))),0)</f>
        <v>0</v>
      </c>
      <c r="AA319">
        <f>IF(M319&lt;0,ABS(M319)-Z319,0)</f>
        <v>0</v>
      </c>
      <c r="AB319" s="5">
        <f>($AA$323-$Y$323)*X319/$X$323</f>
        <v>0</v>
      </c>
      <c r="AC319" s="5">
        <f>L319+X319-Z319-AB319</f>
        <v>0</v>
      </c>
      <c r="AD319" s="5">
        <f t="shared" si="43"/>
        <v>0</v>
      </c>
      <c r="AE319" s="10">
        <f t="shared" si="44"/>
        <v>0</v>
      </c>
      <c r="AF319" s="10">
        <f t="shared" si="45"/>
        <v>0</v>
      </c>
      <c r="AG319">
        <f t="shared" si="46"/>
        <v>0</v>
      </c>
      <c r="AH319" s="9"/>
      <c r="AI319">
        <f t="shared" si="47"/>
        <v>0</v>
      </c>
      <c r="AJ319">
        <f t="shared" si="48"/>
        <v>0</v>
      </c>
      <c r="AK319" s="5">
        <f t="shared" si="49"/>
        <v>0</v>
      </c>
      <c r="AL319" s="5">
        <f t="shared" si="50"/>
        <v>0</v>
      </c>
      <c r="AM319">
        <f t="shared" si="51"/>
        <v>0</v>
      </c>
      <c r="AN319">
        <f t="shared" si="52"/>
        <v>0</v>
      </c>
      <c r="AO319" s="38">
        <f t="shared" si="53"/>
        <v>0</v>
      </c>
      <c r="AP319" s="38">
        <f t="shared" si="54"/>
        <v>0</v>
      </c>
    </row>
    <row r="320" spans="1:42">
      <c r="A320" t="str">
        <f>Table!P36</f>
        <v>others</v>
      </c>
      <c r="B320" t="str">
        <f>Table!Q36</f>
        <v>Others (Index/ETF)</v>
      </c>
      <c r="C320" t="str">
        <f>Table!R36</f>
        <v>Motilal Oswal Nasdaq 100 ETF</v>
      </c>
      <c r="D320" t="str">
        <f>Table!S36</f>
        <v>INF247L01AP3</v>
      </c>
      <c r="E320">
        <f>Table!T36</f>
        <v>1</v>
      </c>
      <c r="F320" s="5">
        <f t="shared" si="33"/>
        <v>0</v>
      </c>
      <c r="G320" s="4">
        <f>F320/$F$323*100</f>
        <v>0</v>
      </c>
      <c r="H320" s="5">
        <f t="shared" si="34"/>
        <v>10</v>
      </c>
      <c r="I320" s="4">
        <f t="shared" si="35"/>
        <v>0</v>
      </c>
      <c r="J320" s="4">
        <f t="shared" si="36"/>
        <v>0</v>
      </c>
      <c r="K320" s="38">
        <f t="shared" si="37"/>
        <v>0</v>
      </c>
      <c r="L320">
        <f>Allocation!K320</f>
        <v>0</v>
      </c>
      <c r="M320" s="38">
        <f t="shared" si="38"/>
        <v>0</v>
      </c>
      <c r="N320" t="str">
        <f t="shared" si="39"/>
        <v/>
      </c>
      <c r="O320">
        <v>10</v>
      </c>
      <c r="P320" t="str">
        <f t="shared" si="61"/>
        <v/>
      </c>
      <c r="Q320" s="38">
        <f t="shared" si="40"/>
        <v>0</v>
      </c>
      <c r="R320" s="38">
        <f t="shared" si="41"/>
        <v>0</v>
      </c>
      <c r="S320">
        <v>0</v>
      </c>
      <c r="T320">
        <v>0</v>
      </c>
      <c r="U320">
        <v>0</v>
      </c>
      <c r="V320">
        <v>0</v>
      </c>
      <c r="W320">
        <f t="shared" si="42"/>
        <v>0</v>
      </c>
      <c r="X320" s="38">
        <f>MAX(0,R320)</f>
        <v>0</v>
      </c>
      <c r="Y320">
        <f>IF(M320&gt;0,M320-X320,0)</f>
        <v>0</v>
      </c>
      <c r="Z320">
        <f>IF(R320&lt;0,MIN(ABS(R320),L320-MAX(S320,IF(T320&gt;0,U320,0))),0)</f>
        <v>0</v>
      </c>
      <c r="AA320">
        <f>IF(M320&lt;0,ABS(M320)-Z320,0)</f>
        <v>0</v>
      </c>
      <c r="AB320" s="5">
        <f>($AA$323-$Y$323)*X320/$X$323</f>
        <v>0</v>
      </c>
      <c r="AC320" s="5">
        <f>L320+X320-Z320-AB320</f>
        <v>0</v>
      </c>
      <c r="AD320" s="5">
        <f t="shared" si="43"/>
        <v>0</v>
      </c>
      <c r="AE320" s="10">
        <f t="shared" si="44"/>
        <v>0</v>
      </c>
      <c r="AF320" s="10">
        <f t="shared" si="45"/>
        <v>0</v>
      </c>
      <c r="AG320">
        <f t="shared" si="46"/>
        <v>0</v>
      </c>
      <c r="AH320" s="9"/>
      <c r="AI320">
        <f t="shared" si="47"/>
        <v>0</v>
      </c>
      <c r="AJ320">
        <f t="shared" si="48"/>
        <v>0</v>
      </c>
      <c r="AK320" s="5">
        <f t="shared" si="49"/>
        <v>0</v>
      </c>
      <c r="AL320" s="5">
        <f t="shared" si="50"/>
        <v>0</v>
      </c>
      <c r="AM320">
        <f t="shared" si="51"/>
        <v>0</v>
      </c>
      <c r="AN320">
        <f t="shared" si="52"/>
        <v>0</v>
      </c>
      <c r="AO320" s="38">
        <f t="shared" si="53"/>
        <v>0</v>
      </c>
      <c r="AP320" s="38">
        <f t="shared" si="54"/>
        <v>0</v>
      </c>
    </row>
    <row r="321" spans="1:42">
      <c r="A321" t="str">
        <f>Table!P37</f>
        <v>others</v>
      </c>
      <c r="B321" t="str">
        <f>Table!Q37</f>
        <v>Others (Index/ETF)</v>
      </c>
      <c r="C321" t="str">
        <f>Table!R37</f>
        <v>Others (Index/ETF)_2</v>
      </c>
      <c r="D321">
        <f>Table!S37</f>
        <v>0</v>
      </c>
      <c r="E321">
        <f>Table!T37</f>
        <v>2</v>
      </c>
      <c r="F321" s="5">
        <f t="shared" si="33"/>
        <v>0</v>
      </c>
      <c r="G321" s="4">
        <f>F321/$F$323*100</f>
        <v>0</v>
      </c>
      <c r="H321" s="5">
        <f t="shared" si="34"/>
        <v>10</v>
      </c>
      <c r="I321" s="4">
        <f t="shared" si="35"/>
        <v>0</v>
      </c>
      <c r="J321" s="4">
        <f t="shared" si="36"/>
        <v>0</v>
      </c>
      <c r="K321" s="38">
        <f t="shared" si="37"/>
        <v>0</v>
      </c>
      <c r="L321">
        <f>Allocation!K321</f>
        <v>0</v>
      </c>
      <c r="M321" s="38">
        <f t="shared" si="38"/>
        <v>0</v>
      </c>
      <c r="N321" t="str">
        <f t="shared" si="39"/>
        <v/>
      </c>
      <c r="O321">
        <v>8</v>
      </c>
      <c r="P321" t="str">
        <f t="shared" si="61"/>
        <v/>
      </c>
      <c r="Q321" s="38">
        <f t="shared" si="40"/>
        <v>0</v>
      </c>
      <c r="R321" s="38">
        <f t="shared" si="41"/>
        <v>0</v>
      </c>
      <c r="S321">
        <v>0</v>
      </c>
      <c r="T321">
        <v>0</v>
      </c>
      <c r="U321">
        <v>0</v>
      </c>
      <c r="V321">
        <v>0</v>
      </c>
      <c r="W321">
        <f t="shared" si="42"/>
        <v>0</v>
      </c>
      <c r="X321" s="38">
        <f>MAX(0,R321)</f>
        <v>0</v>
      </c>
      <c r="Y321">
        <f>IF(M321&gt;0,M321-X321,0)</f>
        <v>0</v>
      </c>
      <c r="Z321">
        <f>IF(R321&lt;0,MIN(ABS(R321),L321-MAX(S321,IF(T321&gt;0,U321,0))),0)</f>
        <v>0</v>
      </c>
      <c r="AA321">
        <f>IF(M321&lt;0,ABS(M321)-Z321,0)</f>
        <v>0</v>
      </c>
      <c r="AB321" s="5">
        <f>($AA$323-$Y$323)*X321/$X$323</f>
        <v>0</v>
      </c>
      <c r="AC321" s="5">
        <f>L321+X321-Z321-AB321</f>
        <v>0</v>
      </c>
      <c r="AD321" s="5">
        <f t="shared" si="43"/>
        <v>0</v>
      </c>
      <c r="AE321" s="10">
        <f t="shared" si="44"/>
        <v>0</v>
      </c>
      <c r="AF321" s="10">
        <f t="shared" si="45"/>
        <v>0</v>
      </c>
      <c r="AG321">
        <f t="shared" si="46"/>
        <v>0</v>
      </c>
      <c r="AH321" s="9"/>
      <c r="AI321">
        <f t="shared" si="47"/>
        <v>0</v>
      </c>
      <c r="AJ321">
        <f t="shared" si="48"/>
        <v>0</v>
      </c>
      <c r="AK321" s="5">
        <f t="shared" si="49"/>
        <v>0</v>
      </c>
      <c r="AL321" s="5">
        <f t="shared" si="50"/>
        <v>0</v>
      </c>
      <c r="AM321">
        <f t="shared" si="51"/>
        <v>0</v>
      </c>
      <c r="AN321">
        <f t="shared" si="52"/>
        <v>0</v>
      </c>
      <c r="AO321" s="38">
        <f t="shared" si="53"/>
        <v>0</v>
      </c>
      <c r="AP321" s="38">
        <f t="shared" si="54"/>
        <v>0</v>
      </c>
    </row>
    <row r="322" spans="1:42">
      <c r="A322" t="str">
        <f>A286</f>
        <v>low_beta_equities</v>
      </c>
      <c r="B322" t="str">
        <f t="shared" ref="B322" si="62">B286</f>
        <v>Large Cap Fund</v>
      </c>
      <c r="C322" t="s">
        <v>224</v>
      </c>
      <c r="D322">
        <f>Table!S38</f>
        <v>0</v>
      </c>
      <c r="E322">
        <f>Table!T38</f>
        <v>0</v>
      </c>
      <c r="F322" s="5">
        <f t="shared" ref="F322" si="63">IF(E322=1,SUMIF($A$243:$A$256,A322,$F$243:$F$256),0)</f>
        <v>0</v>
      </c>
      <c r="G322" s="4">
        <f>F322/$F$323*100</f>
        <v>0</v>
      </c>
      <c r="H322" s="5">
        <f t="shared" ref="H322" si="64">IF(A322=$A$302,$B$280,$B$281)</f>
        <v>10</v>
      </c>
      <c r="I322" s="4">
        <f t="shared" ref="I322" si="65">IF(E322=1,MIN(G322,H322),IF(E322=2,MAX(0,G321-H321),0))</f>
        <v>0</v>
      </c>
      <c r="J322" s="4">
        <f t="shared" ref="J322" si="66">IF(E322=2,MIN(I322,H322),IF(E322=3,MAX(0,I321-H321),I322))</f>
        <v>0</v>
      </c>
      <c r="K322" s="38">
        <f t="shared" ref="K322" si="67">J322*$F$257/100</f>
        <v>0</v>
      </c>
      <c r="L322">
        <v>300000</v>
      </c>
      <c r="M322" s="38">
        <f t="shared" ref="M322" si="68">K322-L322</f>
        <v>-300000</v>
      </c>
      <c r="N322" t="b">
        <f t="shared" si="39"/>
        <v>1</v>
      </c>
      <c r="O322">
        <v>6</v>
      </c>
      <c r="P322" t="b">
        <f t="shared" si="61"/>
        <v>0</v>
      </c>
      <c r="Q322" s="52">
        <f>IFERROR(L322+M322*P322,0)-MIN(M286,L322)</f>
        <v>144700.00000000012</v>
      </c>
      <c r="R322" s="38">
        <f t="shared" si="41"/>
        <v>-155299.99999999988</v>
      </c>
      <c r="S322">
        <v>0</v>
      </c>
      <c r="T322">
        <v>5993</v>
      </c>
      <c r="U322">
        <v>100000</v>
      </c>
      <c r="V322">
        <v>0</v>
      </c>
      <c r="W322">
        <f t="shared" si="42"/>
        <v>200000</v>
      </c>
      <c r="X322" s="38">
        <f>MAX(0,R322)</f>
        <v>0</v>
      </c>
      <c r="Y322">
        <f>IF(M322&gt;0,M322-X322,0)</f>
        <v>0</v>
      </c>
      <c r="Z322">
        <f>IF(R322&lt;0,MIN(ABS(R322),L322-MAX(S322,IF(T322&gt;0,U322,0))),0)</f>
        <v>155299.99999999988</v>
      </c>
      <c r="AA322">
        <f>IF(M322&lt;0,ABS(M322)-Z322,0)</f>
        <v>144700.00000000012</v>
      </c>
      <c r="AB322" s="5">
        <f>($AA$323-$Y$323)*X322/$X$323</f>
        <v>0</v>
      </c>
      <c r="AC322" s="5">
        <f>L322+X322-Z322-AB322</f>
        <v>144700.00000000012</v>
      </c>
      <c r="AD322" s="5">
        <f t="shared" si="43"/>
        <v>155299.99999999988</v>
      </c>
      <c r="AE322" s="10">
        <f t="shared" si="44"/>
        <v>0</v>
      </c>
      <c r="AF322" s="10">
        <f t="shared" si="45"/>
        <v>0</v>
      </c>
      <c r="AG322">
        <f t="shared" si="46"/>
        <v>0</v>
      </c>
      <c r="AH322" s="9"/>
      <c r="AI322">
        <f t="shared" si="47"/>
        <v>155299.99999999988</v>
      </c>
      <c r="AJ322">
        <f t="shared" si="48"/>
        <v>0</v>
      </c>
      <c r="AK322" s="5">
        <f t="shared" si="49"/>
        <v>0</v>
      </c>
      <c r="AL322" s="5">
        <f t="shared" si="50"/>
        <v>0</v>
      </c>
      <c r="AM322">
        <f t="shared" si="51"/>
        <v>155299.99999999988</v>
      </c>
      <c r="AN322">
        <f t="shared" si="52"/>
        <v>144700.00000000012</v>
      </c>
      <c r="AO322" s="38">
        <f t="shared" si="53"/>
        <v>0</v>
      </c>
      <c r="AP322" s="38">
        <f t="shared" si="54"/>
        <v>144700.00000000012</v>
      </c>
    </row>
    <row r="323" spans="1:42">
      <c r="F323" s="5">
        <f>SUM(F286:F322)</f>
        <v>8000025</v>
      </c>
      <c r="G323" s="5">
        <f t="shared" ref="G323:I323" si="69">SUM(G286:G322)</f>
        <v>100.00000000000001</v>
      </c>
      <c r="H323" s="5">
        <f t="shared" si="69"/>
        <v>400</v>
      </c>
      <c r="I323" s="5">
        <f t="shared" si="69"/>
        <v>100</v>
      </c>
      <c r="J323" s="5">
        <f t="shared" ref="J323" si="70">SUM(J286:J322)</f>
        <v>100</v>
      </c>
      <c r="K323" s="5">
        <f t="shared" ref="K323" si="71">SUM(K286:K322)</f>
        <v>8000025</v>
      </c>
      <c r="L323" s="5">
        <f t="shared" ref="L323" si="72">SUM(L286:L322)</f>
        <v>10220025</v>
      </c>
      <c r="M323" s="5">
        <f t="shared" ref="M323" si="73">SUM(M286:M322)</f>
        <v>-2219999.9999999991</v>
      </c>
      <c r="Q323" s="5">
        <f t="shared" ref="Q323:R323" si="74">SUM(Q286:Q322)</f>
        <v>8002525</v>
      </c>
      <c r="R323" s="5">
        <f t="shared" si="74"/>
        <v>-2217499.9999999991</v>
      </c>
      <c r="S323" s="5">
        <f>SUM(S286:S322)</f>
        <v>1438336.375</v>
      </c>
      <c r="T323" s="5">
        <f t="shared" ref="T323" si="75">SUM(T286:T322)</f>
        <v>21848</v>
      </c>
      <c r="U323" s="5">
        <f t="shared" ref="U323" si="76">SUM(U286:U322)</f>
        <v>4943840.125</v>
      </c>
      <c r="V323" s="5">
        <f t="shared" ref="V323" si="77">SUM(V286:V322)</f>
        <v>-13785</v>
      </c>
      <c r="W323" s="5">
        <f t="shared" ref="W323:Y323" si="78">SUM(W286:W322)</f>
        <v>5276184.8749999991</v>
      </c>
      <c r="X323" s="5">
        <f t="shared" si="78"/>
        <v>1435800</v>
      </c>
      <c r="Y323" s="5">
        <f t="shared" si="78"/>
        <v>155299.99999999988</v>
      </c>
      <c r="Z323" s="5">
        <f t="shared" ref="Z323" si="79">SUM(Z286:Z322)</f>
        <v>3355485.4999999995</v>
      </c>
      <c r="AA323" s="5">
        <f t="shared" ref="AA323:AC323" si="80">SUM(AA286:AA322)</f>
        <v>455614.49999999965</v>
      </c>
      <c r="AB323" s="5">
        <f t="shared" si="80"/>
        <v>300314.49999999977</v>
      </c>
      <c r="AC323" s="5">
        <f t="shared" si="80"/>
        <v>8000025</v>
      </c>
      <c r="AD323" s="10">
        <f>SUM(AD286:AD322)</f>
        <v>3305485.8749999995</v>
      </c>
      <c r="AE323" s="10">
        <f>SUM(AE286:AE322)</f>
        <v>-12112.155109662313</v>
      </c>
      <c r="AF323" s="10">
        <f>SUM(AF286:AF322)</f>
        <v>49999.625</v>
      </c>
      <c r="AG323" s="10">
        <f>SUM(AG286:AG322)</f>
        <v>-8761</v>
      </c>
      <c r="AH323" s="10">
        <f>SUM(AH286:AH322)</f>
        <v>-5200</v>
      </c>
      <c r="AI323" s="10">
        <f>SUM(AI286:AI322)</f>
        <v>3653299.9999999991</v>
      </c>
      <c r="AJ323" s="10">
        <f>SUM(AJ286:AJ322)</f>
        <v>297814.49999999953</v>
      </c>
      <c r="AK323" s="10">
        <f>SUM(AK286:AK322)</f>
        <v>1057.2376879356916</v>
      </c>
      <c r="AL323" s="10">
        <f>MIN(ABS(AH323+AG323),AK323)</f>
        <v>1057.2376879356916</v>
      </c>
      <c r="AM323" s="10">
        <f>SUM(AM286:AM322)</f>
        <v>3653299.9999999991</v>
      </c>
      <c r="AN323" s="10">
        <f>SUM(AN286:AN322)</f>
        <v>157800.00000000012</v>
      </c>
      <c r="AO323" s="10">
        <f>SUM(AO286:AO322)</f>
        <v>2500.0000000002328</v>
      </c>
      <c r="AP323" s="10">
        <f>SUM(AP286:AP322)</f>
        <v>8000025</v>
      </c>
    </row>
    <row r="324" spans="1:42">
      <c r="J324" t="s">
        <v>132</v>
      </c>
      <c r="K324" s="40">
        <f>J323-100</f>
        <v>0</v>
      </c>
      <c r="L324">
        <f>SUM(L286:L322)-L323</f>
        <v>0</v>
      </c>
      <c r="M324">
        <f>SUM(M286:M321)-M323</f>
        <v>300000</v>
      </c>
      <c r="X324">
        <f>X323-Z323-AA323</f>
        <v>-2375299.9999999991</v>
      </c>
    </row>
    <row r="325" spans="1:42">
      <c r="A325" s="51" t="s">
        <v>225</v>
      </c>
    </row>
    <row r="326" spans="1:42">
      <c r="A326" s="2"/>
      <c r="B326" s="2"/>
      <c r="C326" s="2"/>
      <c r="D326" s="2"/>
      <c r="E326" s="2"/>
      <c r="F326" s="2"/>
      <c r="G326" s="2"/>
      <c r="H326" s="2"/>
      <c r="I326" s="2"/>
      <c r="J326" s="2"/>
      <c r="K326" s="2"/>
      <c r="L326" s="2"/>
      <c r="M326" s="2"/>
    </row>
    <row r="328" spans="1:42">
      <c r="A328" s="51" t="s">
        <v>225</v>
      </c>
    </row>
    <row r="329" spans="1:42">
      <c r="A329" s="51" t="s">
        <v>226</v>
      </c>
    </row>
    <row r="330" spans="1:42">
      <c r="A330" s="51" t="s">
        <v>227</v>
      </c>
    </row>
    <row r="331" spans="1:42">
      <c r="A331" s="51" t="s">
        <v>228</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4"/>
  <sheetViews>
    <sheetView workbookViewId="0">
      <pane ySplit="1" topLeftCell="L24" activePane="bottomLeft" state="frozen"/>
      <selection pane="bottomLeft" activeCell="R28" sqref="R28"/>
    </sheetView>
  </sheetViews>
  <sheetFormatPr defaultRowHeight="15"/>
  <cols>
    <col min="1" max="19" width="20" customWidth="1"/>
  </cols>
  <sheetData>
    <row r="1" spans="1:20">
      <c r="A1" s="1" t="s">
        <v>229</v>
      </c>
      <c r="B1" s="1"/>
      <c r="C1" s="1"/>
      <c r="D1" s="1"/>
      <c r="E1" s="1"/>
      <c r="F1" s="1"/>
      <c r="G1" s="1"/>
      <c r="H1" s="1"/>
      <c r="I1" s="1"/>
      <c r="J1" s="1" t="s">
        <v>230</v>
      </c>
      <c r="K1" s="1"/>
      <c r="L1" s="1"/>
      <c r="M1" s="1"/>
      <c r="N1" s="1"/>
      <c r="O1" s="1" t="s">
        <v>231</v>
      </c>
      <c r="P1" s="1" t="s">
        <v>98</v>
      </c>
      <c r="Q1" s="1" t="s">
        <v>232</v>
      </c>
      <c r="R1" s="1" t="s">
        <v>233</v>
      </c>
      <c r="S1" s="1" t="s">
        <v>234</v>
      </c>
      <c r="T1" t="s">
        <v>235</v>
      </c>
    </row>
    <row r="2" spans="1:20">
      <c r="A2" t="s">
        <v>236</v>
      </c>
      <c r="B2" t="s">
        <v>237</v>
      </c>
      <c r="C2" t="s">
        <v>238</v>
      </c>
      <c r="D2" t="s">
        <v>239</v>
      </c>
      <c r="E2" t="s">
        <v>240</v>
      </c>
      <c r="F2" t="s">
        <v>241</v>
      </c>
      <c r="G2" t="s">
        <v>242</v>
      </c>
      <c r="J2" t="s">
        <v>243</v>
      </c>
      <c r="K2" t="s">
        <v>108</v>
      </c>
      <c r="L2" t="s">
        <v>244</v>
      </c>
      <c r="M2" t="s">
        <v>122</v>
      </c>
      <c r="O2" t="s">
        <v>245</v>
      </c>
      <c r="P2" t="s">
        <v>72</v>
      </c>
      <c r="Q2" t="s">
        <v>246</v>
      </c>
      <c r="R2" t="s">
        <v>247</v>
      </c>
      <c r="S2" t="s">
        <v>248</v>
      </c>
      <c r="T2">
        <v>1</v>
      </c>
    </row>
    <row r="3" spans="1:20">
      <c r="A3">
        <v>10</v>
      </c>
      <c r="B3">
        <v>70</v>
      </c>
      <c r="C3">
        <v>100</v>
      </c>
      <c r="D3">
        <v>0</v>
      </c>
      <c r="E3">
        <v>20</v>
      </c>
      <c r="F3">
        <v>0</v>
      </c>
      <c r="G3">
        <v>10</v>
      </c>
      <c r="J3">
        <v>5</v>
      </c>
      <c r="K3" t="s">
        <v>249</v>
      </c>
      <c r="L3">
        <v>50</v>
      </c>
      <c r="M3">
        <v>50</v>
      </c>
      <c r="O3" t="s">
        <v>245</v>
      </c>
      <c r="P3" t="s">
        <v>72</v>
      </c>
      <c r="Q3" t="s">
        <v>246</v>
      </c>
      <c r="R3" t="s">
        <v>250</v>
      </c>
      <c r="T3">
        <v>2</v>
      </c>
    </row>
    <row r="4" spans="1:20">
      <c r="A4">
        <v>9.5</v>
      </c>
      <c r="B4">
        <v>65</v>
      </c>
      <c r="C4">
        <v>100</v>
      </c>
      <c r="D4">
        <v>0</v>
      </c>
      <c r="E4">
        <v>25</v>
      </c>
      <c r="F4">
        <v>0</v>
      </c>
      <c r="G4">
        <v>10</v>
      </c>
      <c r="J4">
        <v>5</v>
      </c>
      <c r="K4" t="s">
        <v>251</v>
      </c>
      <c r="L4">
        <v>70</v>
      </c>
      <c r="M4">
        <v>30</v>
      </c>
      <c r="O4" t="s">
        <v>245</v>
      </c>
      <c r="P4" t="s">
        <v>77</v>
      </c>
      <c r="Q4" t="s">
        <v>252</v>
      </c>
      <c r="R4" t="s">
        <v>253</v>
      </c>
      <c r="S4" t="s">
        <v>254</v>
      </c>
      <c r="T4">
        <v>1</v>
      </c>
    </row>
    <row r="5" spans="1:20">
      <c r="A5">
        <v>9</v>
      </c>
      <c r="B5">
        <v>60</v>
      </c>
      <c r="C5">
        <v>100</v>
      </c>
      <c r="D5">
        <v>0</v>
      </c>
      <c r="E5">
        <v>30</v>
      </c>
      <c r="F5">
        <v>0</v>
      </c>
      <c r="G5">
        <v>10</v>
      </c>
      <c r="J5">
        <v>5</v>
      </c>
      <c r="K5" t="s">
        <v>255</v>
      </c>
      <c r="L5">
        <v>80</v>
      </c>
      <c r="M5">
        <v>20</v>
      </c>
      <c r="O5" t="s">
        <v>245</v>
      </c>
      <c r="P5" t="s">
        <v>77</v>
      </c>
      <c r="Q5" t="s">
        <v>252</v>
      </c>
      <c r="R5" t="s">
        <v>256</v>
      </c>
      <c r="T5">
        <v>2</v>
      </c>
    </row>
    <row r="6" spans="1:20">
      <c r="A6">
        <v>8.5</v>
      </c>
      <c r="B6">
        <v>60</v>
      </c>
      <c r="C6">
        <v>90</v>
      </c>
      <c r="D6">
        <v>5</v>
      </c>
      <c r="E6">
        <v>30</v>
      </c>
      <c r="F6">
        <v>0</v>
      </c>
      <c r="G6">
        <v>10</v>
      </c>
      <c r="J6">
        <v>4</v>
      </c>
      <c r="K6" t="s">
        <v>249</v>
      </c>
      <c r="L6">
        <v>35</v>
      </c>
      <c r="M6">
        <v>65</v>
      </c>
      <c r="O6" t="s">
        <v>245</v>
      </c>
      <c r="P6" t="s">
        <v>79</v>
      </c>
      <c r="Q6" t="s">
        <v>257</v>
      </c>
      <c r="R6" t="s">
        <v>258</v>
      </c>
      <c r="S6" t="s">
        <v>259</v>
      </c>
      <c r="T6">
        <v>1</v>
      </c>
    </row>
    <row r="7" spans="1:20">
      <c r="A7">
        <v>8</v>
      </c>
      <c r="B7">
        <v>55</v>
      </c>
      <c r="C7">
        <v>85</v>
      </c>
      <c r="D7">
        <v>10</v>
      </c>
      <c r="E7">
        <v>30</v>
      </c>
      <c r="F7">
        <v>0</v>
      </c>
      <c r="G7">
        <v>15</v>
      </c>
      <c r="J7">
        <v>4</v>
      </c>
      <c r="K7" t="s">
        <v>251</v>
      </c>
      <c r="L7">
        <v>50</v>
      </c>
      <c r="M7">
        <v>50</v>
      </c>
      <c r="O7" t="s">
        <v>245</v>
      </c>
      <c r="P7" t="s">
        <v>79</v>
      </c>
      <c r="Q7" t="s">
        <v>257</v>
      </c>
      <c r="R7" t="s">
        <v>260</v>
      </c>
      <c r="T7">
        <v>2</v>
      </c>
    </row>
    <row r="8" spans="1:20">
      <c r="A8">
        <v>7.5</v>
      </c>
      <c r="B8">
        <v>50</v>
      </c>
      <c r="C8">
        <v>80</v>
      </c>
      <c r="D8">
        <v>10</v>
      </c>
      <c r="E8">
        <v>35</v>
      </c>
      <c r="F8">
        <v>5</v>
      </c>
      <c r="G8">
        <v>15</v>
      </c>
      <c r="J8">
        <v>4</v>
      </c>
      <c r="K8" t="s">
        <v>255</v>
      </c>
      <c r="L8">
        <v>65</v>
      </c>
      <c r="M8">
        <v>35</v>
      </c>
      <c r="O8" t="s">
        <v>245</v>
      </c>
      <c r="P8" t="s">
        <v>74</v>
      </c>
      <c r="Q8" t="s">
        <v>261</v>
      </c>
      <c r="R8" t="s">
        <v>262</v>
      </c>
      <c r="S8" t="s">
        <v>263</v>
      </c>
      <c r="T8">
        <v>1</v>
      </c>
    </row>
    <row r="9" spans="1:20">
      <c r="A9">
        <v>7</v>
      </c>
      <c r="B9">
        <v>45</v>
      </c>
      <c r="C9">
        <v>75</v>
      </c>
      <c r="D9">
        <v>15</v>
      </c>
      <c r="E9">
        <v>40</v>
      </c>
      <c r="F9">
        <v>5</v>
      </c>
      <c r="G9">
        <v>15</v>
      </c>
      <c r="J9">
        <v>3</v>
      </c>
      <c r="K9" t="s">
        <v>249</v>
      </c>
      <c r="L9">
        <v>0</v>
      </c>
      <c r="M9">
        <v>100</v>
      </c>
      <c r="O9" t="s">
        <v>245</v>
      </c>
      <c r="P9" t="s">
        <v>74</v>
      </c>
      <c r="Q9" t="s">
        <v>261</v>
      </c>
      <c r="R9" t="s">
        <v>264</v>
      </c>
      <c r="T9">
        <v>2</v>
      </c>
    </row>
    <row r="10" spans="1:20">
      <c r="A10">
        <v>6.5</v>
      </c>
      <c r="B10">
        <v>40</v>
      </c>
      <c r="C10">
        <v>70</v>
      </c>
      <c r="D10">
        <v>20</v>
      </c>
      <c r="E10">
        <v>45</v>
      </c>
      <c r="F10">
        <v>5</v>
      </c>
      <c r="G10">
        <v>15</v>
      </c>
      <c r="J10">
        <v>3</v>
      </c>
      <c r="K10" t="s">
        <v>251</v>
      </c>
      <c r="L10">
        <v>0</v>
      </c>
      <c r="M10">
        <v>100</v>
      </c>
      <c r="O10" t="s">
        <v>245</v>
      </c>
      <c r="P10" t="s">
        <v>76</v>
      </c>
      <c r="Q10" t="s">
        <v>265</v>
      </c>
      <c r="R10" t="s">
        <v>266</v>
      </c>
      <c r="S10" t="s">
        <v>267</v>
      </c>
      <c r="T10">
        <v>1</v>
      </c>
    </row>
    <row r="11" spans="1:20">
      <c r="A11">
        <v>6</v>
      </c>
      <c r="B11">
        <v>35</v>
      </c>
      <c r="C11">
        <v>65</v>
      </c>
      <c r="D11">
        <v>25</v>
      </c>
      <c r="E11">
        <v>50</v>
      </c>
      <c r="F11">
        <v>5</v>
      </c>
      <c r="G11">
        <v>15</v>
      </c>
      <c r="J11">
        <v>3</v>
      </c>
      <c r="K11" t="s">
        <v>255</v>
      </c>
      <c r="L11">
        <v>0</v>
      </c>
      <c r="M11">
        <v>100</v>
      </c>
      <c r="O11" t="s">
        <v>245</v>
      </c>
      <c r="P11" t="s">
        <v>76</v>
      </c>
      <c r="Q11" t="s">
        <v>265</v>
      </c>
      <c r="R11" t="s">
        <v>268</v>
      </c>
      <c r="T11">
        <v>2</v>
      </c>
    </row>
    <row r="12" spans="1:20">
      <c r="A12">
        <v>5.5</v>
      </c>
      <c r="B12">
        <v>30</v>
      </c>
      <c r="C12">
        <v>60</v>
      </c>
      <c r="D12">
        <v>30</v>
      </c>
      <c r="E12">
        <v>55</v>
      </c>
      <c r="F12">
        <v>5</v>
      </c>
      <c r="G12">
        <v>15</v>
      </c>
      <c r="O12" t="s">
        <v>245</v>
      </c>
      <c r="P12" t="s">
        <v>175</v>
      </c>
      <c r="Q12" t="s">
        <v>269</v>
      </c>
      <c r="R12" t="s">
        <v>270</v>
      </c>
      <c r="S12" t="s">
        <v>271</v>
      </c>
      <c r="T12">
        <v>1</v>
      </c>
    </row>
    <row r="13" spans="1:20">
      <c r="A13">
        <v>5</v>
      </c>
      <c r="B13">
        <v>30</v>
      </c>
      <c r="C13">
        <v>60</v>
      </c>
      <c r="D13">
        <v>30</v>
      </c>
      <c r="E13">
        <v>60</v>
      </c>
      <c r="F13">
        <v>5</v>
      </c>
      <c r="G13">
        <v>15</v>
      </c>
      <c r="O13" t="s">
        <v>245</v>
      </c>
      <c r="P13" t="s">
        <v>175</v>
      </c>
      <c r="Q13" t="s">
        <v>269</v>
      </c>
      <c r="R13" t="s">
        <v>272</v>
      </c>
      <c r="T13">
        <v>2</v>
      </c>
    </row>
    <row r="14" spans="1:20">
      <c r="A14">
        <v>4.5</v>
      </c>
      <c r="B14">
        <v>25</v>
      </c>
      <c r="C14">
        <v>55</v>
      </c>
      <c r="D14">
        <v>35</v>
      </c>
      <c r="E14">
        <v>65</v>
      </c>
      <c r="F14">
        <v>5</v>
      </c>
      <c r="G14">
        <v>15</v>
      </c>
      <c r="O14" t="s">
        <v>245</v>
      </c>
      <c r="P14" t="s">
        <v>81</v>
      </c>
      <c r="Q14" t="s">
        <v>273</v>
      </c>
      <c r="R14" t="s">
        <v>274</v>
      </c>
      <c r="S14" t="s">
        <v>275</v>
      </c>
      <c r="T14">
        <v>1</v>
      </c>
    </row>
    <row r="15" spans="1:20">
      <c r="A15">
        <v>4</v>
      </c>
      <c r="B15">
        <v>20</v>
      </c>
      <c r="C15">
        <v>55</v>
      </c>
      <c r="D15">
        <v>35</v>
      </c>
      <c r="E15">
        <v>70</v>
      </c>
      <c r="F15">
        <v>5</v>
      </c>
      <c r="G15">
        <v>15</v>
      </c>
      <c r="O15" t="s">
        <v>245</v>
      </c>
      <c r="P15" t="s">
        <v>81</v>
      </c>
      <c r="Q15" t="s">
        <v>273</v>
      </c>
      <c r="R15" t="s">
        <v>276</v>
      </c>
      <c r="T15">
        <v>2</v>
      </c>
    </row>
    <row r="16" spans="1:20">
      <c r="A16">
        <v>3.5</v>
      </c>
      <c r="B16">
        <v>15</v>
      </c>
      <c r="C16">
        <v>50</v>
      </c>
      <c r="D16">
        <v>40</v>
      </c>
      <c r="E16">
        <v>70</v>
      </c>
      <c r="F16">
        <v>5</v>
      </c>
      <c r="G16">
        <v>15</v>
      </c>
      <c r="O16" t="s">
        <v>245</v>
      </c>
      <c r="P16" t="s">
        <v>83</v>
      </c>
      <c r="Q16" t="s">
        <v>277</v>
      </c>
      <c r="R16" t="s">
        <v>278</v>
      </c>
      <c r="S16" t="s">
        <v>279</v>
      </c>
      <c r="T16">
        <v>1</v>
      </c>
    </row>
    <row r="17" spans="1:20">
      <c r="A17">
        <v>3</v>
      </c>
      <c r="B17">
        <v>15</v>
      </c>
      <c r="C17">
        <v>45</v>
      </c>
      <c r="D17">
        <v>40</v>
      </c>
      <c r="E17">
        <v>75</v>
      </c>
      <c r="F17">
        <v>5</v>
      </c>
      <c r="G17">
        <v>15</v>
      </c>
      <c r="O17" t="s">
        <v>245</v>
      </c>
      <c r="P17" t="s">
        <v>83</v>
      </c>
      <c r="Q17" t="s">
        <v>277</v>
      </c>
      <c r="R17" t="s">
        <v>280</v>
      </c>
      <c r="T17">
        <v>2</v>
      </c>
    </row>
    <row r="18" spans="1:20">
      <c r="A18">
        <v>2.5</v>
      </c>
      <c r="B18">
        <v>10</v>
      </c>
      <c r="C18">
        <v>45</v>
      </c>
      <c r="D18">
        <v>40</v>
      </c>
      <c r="E18">
        <v>80</v>
      </c>
      <c r="F18">
        <v>5</v>
      </c>
      <c r="G18">
        <v>15</v>
      </c>
      <c r="O18" t="s">
        <v>245</v>
      </c>
      <c r="P18" t="s">
        <v>176</v>
      </c>
      <c r="Q18" t="s">
        <v>281</v>
      </c>
      <c r="R18" t="s">
        <v>282</v>
      </c>
      <c r="S18" t="s">
        <v>283</v>
      </c>
      <c r="T18">
        <v>1</v>
      </c>
    </row>
    <row r="19" spans="1:20">
      <c r="A19">
        <v>2</v>
      </c>
      <c r="B19">
        <v>10</v>
      </c>
      <c r="C19">
        <v>40</v>
      </c>
      <c r="D19">
        <v>40</v>
      </c>
      <c r="E19">
        <v>85</v>
      </c>
      <c r="F19">
        <v>5</v>
      </c>
      <c r="G19">
        <v>15</v>
      </c>
      <c r="O19" t="s">
        <v>245</v>
      </c>
      <c r="P19" t="s">
        <v>176</v>
      </c>
      <c r="Q19" t="s">
        <v>281</v>
      </c>
      <c r="R19" t="s">
        <v>284</v>
      </c>
      <c r="T19">
        <v>2</v>
      </c>
    </row>
    <row r="20" spans="1:20">
      <c r="A20">
        <v>1.5</v>
      </c>
      <c r="B20">
        <v>5</v>
      </c>
      <c r="C20">
        <v>35</v>
      </c>
      <c r="D20">
        <v>45</v>
      </c>
      <c r="E20">
        <v>90</v>
      </c>
      <c r="F20">
        <v>5</v>
      </c>
      <c r="G20">
        <v>15</v>
      </c>
      <c r="O20" t="s">
        <v>245</v>
      </c>
      <c r="P20" t="s">
        <v>176</v>
      </c>
      <c r="Q20" t="s">
        <v>281</v>
      </c>
      <c r="R20" t="s">
        <v>285</v>
      </c>
      <c r="T20">
        <v>3</v>
      </c>
    </row>
    <row r="21" spans="1:20">
      <c r="A21">
        <v>1</v>
      </c>
      <c r="B21">
        <v>5</v>
      </c>
      <c r="C21">
        <v>30</v>
      </c>
      <c r="D21">
        <v>45</v>
      </c>
      <c r="E21">
        <v>95</v>
      </c>
      <c r="F21">
        <v>5</v>
      </c>
      <c r="G21">
        <v>15</v>
      </c>
      <c r="O21" t="s">
        <v>73</v>
      </c>
      <c r="P21" t="s">
        <v>172</v>
      </c>
      <c r="Q21" t="s">
        <v>286</v>
      </c>
      <c r="R21" t="s">
        <v>287</v>
      </c>
      <c r="S21" t="s">
        <v>288</v>
      </c>
      <c r="T21">
        <v>1</v>
      </c>
    </row>
    <row r="22" spans="1:20">
      <c r="O22" t="s">
        <v>73</v>
      </c>
      <c r="P22" t="s">
        <v>172</v>
      </c>
      <c r="Q22" t="s">
        <v>286</v>
      </c>
      <c r="R22" t="s">
        <v>289</v>
      </c>
      <c r="T22">
        <v>2</v>
      </c>
    </row>
    <row r="23" spans="1:20">
      <c r="A23">
        <v>1</v>
      </c>
      <c r="B23">
        <f>A23+1</f>
        <v>2</v>
      </c>
      <c r="C23">
        <f t="shared" ref="C23:M23" si="0">B23+1</f>
        <v>3</v>
      </c>
      <c r="D23">
        <f t="shared" si="0"/>
        <v>4</v>
      </c>
      <c r="E23">
        <f t="shared" si="0"/>
        <v>5</v>
      </c>
      <c r="F23">
        <f t="shared" si="0"/>
        <v>6</v>
      </c>
      <c r="G23">
        <f t="shared" si="0"/>
        <v>7</v>
      </c>
      <c r="H23">
        <f t="shared" si="0"/>
        <v>8</v>
      </c>
      <c r="I23">
        <f t="shared" si="0"/>
        <v>9</v>
      </c>
      <c r="J23">
        <f t="shared" si="0"/>
        <v>10</v>
      </c>
      <c r="K23">
        <f t="shared" si="0"/>
        <v>11</v>
      </c>
      <c r="L23">
        <f t="shared" si="0"/>
        <v>12</v>
      </c>
      <c r="M23">
        <f t="shared" si="0"/>
        <v>13</v>
      </c>
      <c r="O23" t="s">
        <v>73</v>
      </c>
      <c r="P23" t="s">
        <v>290</v>
      </c>
      <c r="Q23" t="s">
        <v>291</v>
      </c>
      <c r="R23" t="s">
        <v>292</v>
      </c>
      <c r="S23" t="s">
        <v>293</v>
      </c>
      <c r="T23">
        <v>1</v>
      </c>
    </row>
    <row r="24" spans="1:20">
      <c r="A24" s="12" t="s">
        <v>69</v>
      </c>
      <c r="B24" s="13" t="s">
        <v>83</v>
      </c>
      <c r="C24" s="13" t="s">
        <v>83</v>
      </c>
      <c r="D24" s="13" t="s">
        <v>72</v>
      </c>
      <c r="E24" s="13" t="s">
        <v>72</v>
      </c>
      <c r="F24" s="13" t="s">
        <v>77</v>
      </c>
      <c r="G24" s="13" t="s">
        <v>77</v>
      </c>
      <c r="H24" s="13" t="s">
        <v>79</v>
      </c>
      <c r="I24" s="13" t="s">
        <v>79</v>
      </c>
      <c r="J24" s="13" t="s">
        <v>81</v>
      </c>
      <c r="K24" s="13" t="s">
        <v>81</v>
      </c>
      <c r="L24" s="14" t="s">
        <v>74</v>
      </c>
      <c r="M24" s="14" t="s">
        <v>74</v>
      </c>
      <c r="O24" t="s">
        <v>73</v>
      </c>
      <c r="P24" t="s">
        <v>290</v>
      </c>
      <c r="Q24" t="s">
        <v>291</v>
      </c>
      <c r="R24" t="s">
        <v>294</v>
      </c>
      <c r="T24">
        <v>2</v>
      </c>
    </row>
    <row r="25" spans="1:20">
      <c r="B25" t="s">
        <v>149</v>
      </c>
      <c r="C25" t="s">
        <v>150</v>
      </c>
      <c r="D25" t="s">
        <v>149</v>
      </c>
      <c r="E25" t="s">
        <v>150</v>
      </c>
      <c r="F25" t="s">
        <v>149</v>
      </c>
      <c r="G25" t="s">
        <v>150</v>
      </c>
      <c r="H25" t="s">
        <v>149</v>
      </c>
      <c r="I25" t="s">
        <v>150</v>
      </c>
      <c r="J25" t="s">
        <v>149</v>
      </c>
      <c r="K25" t="s">
        <v>150</v>
      </c>
      <c r="L25" t="s">
        <v>149</v>
      </c>
      <c r="M25" t="s">
        <v>150</v>
      </c>
      <c r="O25" t="s">
        <v>73</v>
      </c>
      <c r="P25" t="s">
        <v>110</v>
      </c>
      <c r="Q25" t="s">
        <v>291</v>
      </c>
      <c r="R25" t="s">
        <v>295</v>
      </c>
      <c r="S25" t="s">
        <v>296</v>
      </c>
      <c r="T25">
        <v>1</v>
      </c>
    </row>
    <row r="26" spans="1:20">
      <c r="A26" s="15">
        <v>10</v>
      </c>
      <c r="B26" s="16">
        <v>20</v>
      </c>
      <c r="C26">
        <v>40</v>
      </c>
      <c r="D26" s="16">
        <v>0</v>
      </c>
      <c r="E26">
        <v>20</v>
      </c>
      <c r="F26" s="16">
        <v>30</v>
      </c>
      <c r="G26">
        <v>50</v>
      </c>
      <c r="H26" s="20">
        <v>10</v>
      </c>
      <c r="I26">
        <v>30</v>
      </c>
      <c r="J26" s="16">
        <v>0</v>
      </c>
      <c r="K26">
        <v>20</v>
      </c>
      <c r="L26" s="17">
        <v>0</v>
      </c>
      <c r="M26">
        <v>30</v>
      </c>
      <c r="O26" t="s">
        <v>73</v>
      </c>
      <c r="P26" t="s">
        <v>110</v>
      </c>
      <c r="Q26" t="s">
        <v>291</v>
      </c>
      <c r="R26" t="s">
        <v>294</v>
      </c>
      <c r="T26">
        <v>2</v>
      </c>
    </row>
    <row r="27" spans="1:20">
      <c r="A27" s="15">
        <v>9.5</v>
      </c>
      <c r="B27" s="16">
        <v>20</v>
      </c>
      <c r="C27">
        <v>40</v>
      </c>
      <c r="D27" s="16">
        <v>0</v>
      </c>
      <c r="E27">
        <v>20</v>
      </c>
      <c r="F27" s="16">
        <v>30</v>
      </c>
      <c r="G27">
        <v>50</v>
      </c>
      <c r="H27" s="20">
        <v>10</v>
      </c>
      <c r="I27">
        <v>30</v>
      </c>
      <c r="J27" s="16">
        <v>0</v>
      </c>
      <c r="K27">
        <v>20</v>
      </c>
      <c r="L27" s="17">
        <v>0</v>
      </c>
      <c r="M27">
        <v>30</v>
      </c>
      <c r="O27" t="s">
        <v>73</v>
      </c>
      <c r="P27" t="s">
        <v>110</v>
      </c>
      <c r="Q27" t="s">
        <v>291</v>
      </c>
      <c r="R27" t="s">
        <v>297</v>
      </c>
      <c r="T27">
        <v>3</v>
      </c>
    </row>
    <row r="28" spans="1:20">
      <c r="A28" s="15">
        <v>9</v>
      </c>
      <c r="B28" s="16">
        <v>20</v>
      </c>
      <c r="C28">
        <v>40</v>
      </c>
      <c r="D28" s="16">
        <v>0</v>
      </c>
      <c r="E28">
        <v>25</v>
      </c>
      <c r="F28" s="16">
        <v>25</v>
      </c>
      <c r="G28">
        <v>50</v>
      </c>
      <c r="H28" s="20">
        <v>10</v>
      </c>
      <c r="I28">
        <v>30</v>
      </c>
      <c r="J28" s="16">
        <v>0</v>
      </c>
      <c r="K28">
        <v>20</v>
      </c>
      <c r="L28" s="17">
        <v>0</v>
      </c>
      <c r="M28">
        <v>30</v>
      </c>
      <c r="O28" t="s">
        <v>75</v>
      </c>
      <c r="P28" t="s">
        <v>163</v>
      </c>
      <c r="Q28" t="s">
        <v>298</v>
      </c>
      <c r="R28" t="s">
        <v>299</v>
      </c>
      <c r="S28" t="s">
        <v>300</v>
      </c>
      <c r="T28">
        <v>1</v>
      </c>
    </row>
    <row r="29" spans="1:20">
      <c r="A29" s="15">
        <v>8.5</v>
      </c>
      <c r="B29" s="16">
        <v>20</v>
      </c>
      <c r="C29">
        <v>40</v>
      </c>
      <c r="D29" s="16">
        <v>0</v>
      </c>
      <c r="E29">
        <v>30</v>
      </c>
      <c r="F29" s="16">
        <v>25</v>
      </c>
      <c r="G29">
        <v>45</v>
      </c>
      <c r="H29" s="20">
        <v>10</v>
      </c>
      <c r="I29">
        <v>30</v>
      </c>
      <c r="J29" s="16">
        <v>0</v>
      </c>
      <c r="K29">
        <v>20</v>
      </c>
      <c r="L29" s="17">
        <v>0</v>
      </c>
      <c r="M29">
        <v>30</v>
      </c>
      <c r="O29" t="s">
        <v>75</v>
      </c>
      <c r="P29" t="s">
        <v>163</v>
      </c>
      <c r="Q29" t="s">
        <v>298</v>
      </c>
      <c r="R29" t="s">
        <v>301</v>
      </c>
      <c r="T29">
        <v>2</v>
      </c>
    </row>
    <row r="30" spans="1:20">
      <c r="A30" s="15">
        <v>8</v>
      </c>
      <c r="B30" s="16">
        <v>20</v>
      </c>
      <c r="C30">
        <v>40</v>
      </c>
      <c r="D30" s="20">
        <v>10</v>
      </c>
      <c r="E30">
        <v>30</v>
      </c>
      <c r="F30" s="16">
        <v>20</v>
      </c>
      <c r="G30">
        <v>40</v>
      </c>
      <c r="H30" s="20">
        <v>5</v>
      </c>
      <c r="I30">
        <v>25</v>
      </c>
      <c r="J30" s="16">
        <v>0</v>
      </c>
      <c r="K30">
        <v>20</v>
      </c>
      <c r="L30" s="17">
        <v>0</v>
      </c>
      <c r="M30">
        <v>30</v>
      </c>
      <c r="O30" t="s">
        <v>75</v>
      </c>
      <c r="P30" t="s">
        <v>302</v>
      </c>
      <c r="Q30" t="s">
        <v>303</v>
      </c>
      <c r="R30" t="s">
        <v>304</v>
      </c>
      <c r="S30" t="s">
        <v>305</v>
      </c>
      <c r="T30">
        <v>1</v>
      </c>
    </row>
    <row r="31" spans="1:20">
      <c r="A31" s="15">
        <v>7.5</v>
      </c>
      <c r="B31" s="16">
        <v>20</v>
      </c>
      <c r="C31">
        <v>40</v>
      </c>
      <c r="D31" s="16">
        <v>15</v>
      </c>
      <c r="E31">
        <v>35</v>
      </c>
      <c r="F31" s="16">
        <v>20</v>
      </c>
      <c r="G31">
        <v>40</v>
      </c>
      <c r="H31" s="20">
        <v>5</v>
      </c>
      <c r="I31">
        <v>25</v>
      </c>
      <c r="J31" s="16">
        <v>0</v>
      </c>
      <c r="K31">
        <v>20</v>
      </c>
      <c r="L31" s="17">
        <v>0</v>
      </c>
      <c r="M31">
        <v>30</v>
      </c>
      <c r="O31" t="s">
        <v>75</v>
      </c>
      <c r="P31" t="s">
        <v>302</v>
      </c>
      <c r="Q31" t="s">
        <v>303</v>
      </c>
      <c r="R31" t="s">
        <v>306</v>
      </c>
      <c r="T31">
        <v>2</v>
      </c>
    </row>
    <row r="32" spans="1:20">
      <c r="A32" s="15">
        <v>7</v>
      </c>
      <c r="B32" s="16">
        <v>20</v>
      </c>
      <c r="C32">
        <v>40</v>
      </c>
      <c r="D32" s="16">
        <v>20</v>
      </c>
      <c r="E32">
        <v>40</v>
      </c>
      <c r="F32" s="16">
        <v>20</v>
      </c>
      <c r="G32">
        <v>40</v>
      </c>
      <c r="H32" s="20">
        <v>5</v>
      </c>
      <c r="I32">
        <v>25</v>
      </c>
      <c r="J32" s="16">
        <v>0</v>
      </c>
      <c r="K32">
        <v>20</v>
      </c>
      <c r="L32" s="17">
        <v>0</v>
      </c>
      <c r="M32">
        <v>30</v>
      </c>
      <c r="O32" t="s">
        <v>75</v>
      </c>
      <c r="P32" t="s">
        <v>307</v>
      </c>
      <c r="Q32" t="s">
        <v>308</v>
      </c>
      <c r="R32" t="s">
        <v>309</v>
      </c>
      <c r="S32" t="s">
        <v>310</v>
      </c>
      <c r="T32">
        <v>1</v>
      </c>
    </row>
    <row r="33" spans="1:20">
      <c r="A33" s="15">
        <v>6.5</v>
      </c>
      <c r="B33" s="16">
        <v>20</v>
      </c>
      <c r="C33">
        <v>40</v>
      </c>
      <c r="D33" s="16">
        <v>25</v>
      </c>
      <c r="E33">
        <v>45</v>
      </c>
      <c r="F33" s="16">
        <v>20</v>
      </c>
      <c r="G33">
        <v>40</v>
      </c>
      <c r="H33" s="16">
        <v>5</v>
      </c>
      <c r="I33">
        <v>20</v>
      </c>
      <c r="J33" s="16">
        <v>0</v>
      </c>
      <c r="K33">
        <v>20</v>
      </c>
      <c r="L33" s="17">
        <v>0</v>
      </c>
      <c r="M33">
        <v>30</v>
      </c>
      <c r="O33" t="s">
        <v>75</v>
      </c>
      <c r="P33" t="s">
        <v>307</v>
      </c>
      <c r="Q33" t="s">
        <v>308</v>
      </c>
      <c r="R33" t="s">
        <v>311</v>
      </c>
      <c r="T33">
        <v>2</v>
      </c>
    </row>
    <row r="34" spans="1:20">
      <c r="A34" s="15">
        <v>6</v>
      </c>
      <c r="B34" s="16">
        <v>20</v>
      </c>
      <c r="C34">
        <v>40</v>
      </c>
      <c r="D34" s="16">
        <v>30</v>
      </c>
      <c r="E34">
        <v>50</v>
      </c>
      <c r="F34" s="16">
        <v>15</v>
      </c>
      <c r="G34">
        <v>35</v>
      </c>
      <c r="H34" s="16">
        <v>5</v>
      </c>
      <c r="I34">
        <v>20</v>
      </c>
      <c r="J34" s="16">
        <v>0</v>
      </c>
      <c r="K34">
        <v>20</v>
      </c>
      <c r="L34" s="17">
        <v>0</v>
      </c>
      <c r="M34">
        <v>30</v>
      </c>
      <c r="O34" t="s">
        <v>75</v>
      </c>
      <c r="P34" t="s">
        <v>312</v>
      </c>
      <c r="Q34" t="s">
        <v>313</v>
      </c>
      <c r="R34" t="s">
        <v>314</v>
      </c>
      <c r="S34" t="s">
        <v>315</v>
      </c>
      <c r="T34">
        <v>1</v>
      </c>
    </row>
    <row r="35" spans="1:20">
      <c r="A35" s="15">
        <v>5.5</v>
      </c>
      <c r="B35" s="16">
        <v>20</v>
      </c>
      <c r="C35">
        <v>40</v>
      </c>
      <c r="D35" s="16">
        <v>30</v>
      </c>
      <c r="E35">
        <v>55</v>
      </c>
      <c r="F35" s="16">
        <v>10</v>
      </c>
      <c r="G35">
        <v>35</v>
      </c>
      <c r="H35" s="16">
        <v>5</v>
      </c>
      <c r="I35">
        <v>20</v>
      </c>
      <c r="J35" s="16">
        <v>0</v>
      </c>
      <c r="K35">
        <v>20</v>
      </c>
      <c r="L35" s="17">
        <v>0</v>
      </c>
      <c r="M35">
        <v>30</v>
      </c>
      <c r="O35" t="s">
        <v>75</v>
      </c>
      <c r="P35" t="s">
        <v>312</v>
      </c>
      <c r="Q35" t="s">
        <v>313</v>
      </c>
      <c r="R35" t="s">
        <v>316</v>
      </c>
      <c r="T35">
        <v>2</v>
      </c>
    </row>
    <row r="36" spans="1:20">
      <c r="A36" s="15">
        <v>5</v>
      </c>
      <c r="B36" s="16">
        <v>20</v>
      </c>
      <c r="C36">
        <v>40</v>
      </c>
      <c r="D36" s="16">
        <v>35</v>
      </c>
      <c r="E36">
        <v>55</v>
      </c>
      <c r="F36" s="16">
        <v>10</v>
      </c>
      <c r="G36">
        <v>30</v>
      </c>
      <c r="H36" s="16">
        <v>0</v>
      </c>
      <c r="I36">
        <v>20</v>
      </c>
      <c r="J36" s="16">
        <v>0</v>
      </c>
      <c r="K36" s="16">
        <v>0</v>
      </c>
      <c r="L36" s="17">
        <v>0</v>
      </c>
      <c r="M36">
        <v>30</v>
      </c>
      <c r="O36" t="s">
        <v>75</v>
      </c>
      <c r="P36" t="s">
        <v>75</v>
      </c>
      <c r="Q36" t="s">
        <v>317</v>
      </c>
      <c r="R36" t="s">
        <v>318</v>
      </c>
      <c r="S36" t="s">
        <v>319</v>
      </c>
      <c r="T36">
        <v>1</v>
      </c>
    </row>
    <row r="37" spans="1:20">
      <c r="A37" s="15">
        <v>4.5</v>
      </c>
      <c r="B37" s="16">
        <v>20</v>
      </c>
      <c r="C37">
        <v>40</v>
      </c>
      <c r="D37" s="16">
        <v>40</v>
      </c>
      <c r="E37">
        <v>60</v>
      </c>
      <c r="F37" s="16">
        <v>5</v>
      </c>
      <c r="G37">
        <v>25</v>
      </c>
      <c r="H37" s="16">
        <v>0</v>
      </c>
      <c r="I37">
        <v>20</v>
      </c>
      <c r="J37" s="16">
        <v>0</v>
      </c>
      <c r="K37" s="16">
        <v>0</v>
      </c>
      <c r="L37" s="17">
        <v>0</v>
      </c>
      <c r="M37">
        <v>30</v>
      </c>
      <c r="O37" t="s">
        <v>75</v>
      </c>
      <c r="P37" t="s">
        <v>75</v>
      </c>
      <c r="Q37" t="s">
        <v>317</v>
      </c>
      <c r="R37" t="s">
        <v>320</v>
      </c>
      <c r="T37">
        <v>2</v>
      </c>
    </row>
    <row r="38" spans="1:20">
      <c r="A38" s="15">
        <v>4</v>
      </c>
      <c r="B38" s="16">
        <v>20</v>
      </c>
      <c r="C38">
        <v>40</v>
      </c>
      <c r="D38" s="16">
        <v>45</v>
      </c>
      <c r="E38">
        <v>65</v>
      </c>
      <c r="F38" s="16">
        <v>5</v>
      </c>
      <c r="G38">
        <v>25</v>
      </c>
      <c r="H38" s="16">
        <v>0</v>
      </c>
      <c r="I38">
        <v>0</v>
      </c>
      <c r="J38" s="16">
        <v>0</v>
      </c>
      <c r="K38" s="16">
        <v>0</v>
      </c>
      <c r="L38" s="17">
        <v>0</v>
      </c>
      <c r="M38">
        <v>30</v>
      </c>
    </row>
    <row r="39" spans="1:20">
      <c r="A39" s="15">
        <v>3.5</v>
      </c>
      <c r="B39" s="16">
        <v>20</v>
      </c>
      <c r="C39">
        <v>40</v>
      </c>
      <c r="D39" s="16">
        <v>50</v>
      </c>
      <c r="E39">
        <v>70</v>
      </c>
      <c r="F39" s="16">
        <v>0</v>
      </c>
      <c r="G39">
        <v>20</v>
      </c>
      <c r="H39" s="16">
        <v>0</v>
      </c>
      <c r="I39">
        <v>0</v>
      </c>
      <c r="J39" s="16">
        <v>0</v>
      </c>
      <c r="K39" s="16">
        <v>0</v>
      </c>
      <c r="L39" s="17">
        <v>0</v>
      </c>
      <c r="M39">
        <v>30</v>
      </c>
    </row>
    <row r="40" spans="1:20">
      <c r="A40" s="15">
        <v>3</v>
      </c>
      <c r="B40" s="16">
        <v>20</v>
      </c>
      <c r="C40">
        <v>40</v>
      </c>
      <c r="D40" s="16">
        <v>55</v>
      </c>
      <c r="E40">
        <v>75</v>
      </c>
      <c r="F40" s="16">
        <v>0</v>
      </c>
      <c r="G40">
        <v>20</v>
      </c>
      <c r="H40" s="16">
        <v>0</v>
      </c>
      <c r="I40">
        <v>0</v>
      </c>
      <c r="J40" s="16">
        <v>0</v>
      </c>
      <c r="K40" s="16">
        <v>0</v>
      </c>
      <c r="L40" s="17">
        <v>0</v>
      </c>
      <c r="M40">
        <v>30</v>
      </c>
    </row>
    <row r="41" spans="1:20">
      <c r="A41" s="15">
        <v>2.5</v>
      </c>
      <c r="B41" s="16">
        <v>20</v>
      </c>
      <c r="C41">
        <v>40</v>
      </c>
      <c r="D41" s="16">
        <v>60</v>
      </c>
      <c r="E41">
        <v>80</v>
      </c>
      <c r="F41" s="16">
        <v>0</v>
      </c>
      <c r="G41">
        <v>20</v>
      </c>
      <c r="H41" s="16">
        <v>0</v>
      </c>
      <c r="I41">
        <v>0</v>
      </c>
      <c r="J41" s="16">
        <v>0</v>
      </c>
      <c r="K41" s="16">
        <v>0</v>
      </c>
      <c r="L41" s="17">
        <v>0</v>
      </c>
      <c r="M41">
        <v>30</v>
      </c>
    </row>
    <row r="42" spans="1:20">
      <c r="A42" s="15">
        <v>2</v>
      </c>
      <c r="B42" s="16">
        <v>20</v>
      </c>
      <c r="C42">
        <v>40</v>
      </c>
      <c r="D42" s="16">
        <v>60</v>
      </c>
      <c r="E42">
        <v>80</v>
      </c>
      <c r="F42" s="16">
        <v>0</v>
      </c>
      <c r="G42" s="16">
        <v>0</v>
      </c>
      <c r="H42" s="16">
        <v>0</v>
      </c>
      <c r="I42">
        <v>0</v>
      </c>
      <c r="J42" s="16">
        <v>0</v>
      </c>
      <c r="K42" s="16">
        <v>0</v>
      </c>
      <c r="L42" s="17">
        <v>0</v>
      </c>
      <c r="M42">
        <v>30</v>
      </c>
    </row>
    <row r="43" spans="1:20">
      <c r="A43" s="15">
        <v>1.5</v>
      </c>
      <c r="B43" s="16">
        <v>20</v>
      </c>
      <c r="C43">
        <v>40</v>
      </c>
      <c r="D43" s="16">
        <v>60</v>
      </c>
      <c r="E43">
        <v>80</v>
      </c>
      <c r="F43" s="16">
        <v>0</v>
      </c>
      <c r="G43" s="16">
        <v>0</v>
      </c>
      <c r="H43" s="16">
        <v>0</v>
      </c>
      <c r="I43">
        <v>0</v>
      </c>
      <c r="J43" s="16">
        <v>0</v>
      </c>
      <c r="K43" s="16">
        <v>0</v>
      </c>
      <c r="L43" s="17">
        <v>0</v>
      </c>
      <c r="M43">
        <v>30</v>
      </c>
    </row>
    <row r="44" spans="1:20">
      <c r="A44" s="18">
        <v>1</v>
      </c>
      <c r="B44" s="19">
        <v>20</v>
      </c>
      <c r="C44">
        <v>40</v>
      </c>
      <c r="D44" s="19">
        <v>60</v>
      </c>
      <c r="E44">
        <v>80</v>
      </c>
      <c r="F44" s="19">
        <v>0</v>
      </c>
      <c r="G44" s="19">
        <v>0</v>
      </c>
      <c r="H44" s="19">
        <v>0</v>
      </c>
      <c r="I44">
        <v>0</v>
      </c>
      <c r="J44" s="19">
        <v>0</v>
      </c>
      <c r="K44" s="19">
        <v>0</v>
      </c>
      <c r="L44" s="17">
        <v>0</v>
      </c>
      <c r="M44">
        <v>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6"/>
  <sheetViews>
    <sheetView workbookViewId="0">
      <pane ySplit="1" topLeftCell="A2" activePane="bottomLeft" state="frozen"/>
      <selection pane="bottomLeft"/>
    </sheetView>
  </sheetViews>
  <sheetFormatPr defaultRowHeight="15"/>
  <cols>
    <col min="1" max="19" width="20" customWidth="1"/>
  </cols>
  <sheetData>
    <row r="1" spans="1:2">
      <c r="A1" t="s">
        <v>177</v>
      </c>
      <c r="B1" t="s">
        <v>321</v>
      </c>
    </row>
    <row r="2" spans="1:2">
      <c r="A2" t="s">
        <v>322</v>
      </c>
      <c r="B2" t="s">
        <v>323</v>
      </c>
    </row>
    <row r="3" spans="1:2">
      <c r="A3" t="s">
        <v>324</v>
      </c>
      <c r="B3" t="s">
        <v>323</v>
      </c>
    </row>
    <row r="4" spans="1:2">
      <c r="A4" t="s">
        <v>325</v>
      </c>
      <c r="B4" t="s">
        <v>323</v>
      </c>
    </row>
    <row r="5" spans="1:2">
      <c r="A5" t="s">
        <v>326</v>
      </c>
      <c r="B5" t="s">
        <v>323</v>
      </c>
    </row>
    <row r="6" spans="1:2">
      <c r="A6" t="s">
        <v>327</v>
      </c>
      <c r="B6" t="s">
        <v>323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pane ySplit="1" topLeftCell="A2" activePane="bottomLeft" state="frozen"/>
      <selection pane="bottomLeft" sqref="A1:B6"/>
    </sheetView>
  </sheetViews>
  <sheetFormatPr defaultRowHeight="15"/>
  <cols>
    <col min="1" max="19" width="20" customWidth="1"/>
  </cols>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pane ySplit="1" topLeftCell="A2" activePane="bottomLeft" state="frozen"/>
      <selection pane="bottomLeft" sqref="A1:B13"/>
    </sheetView>
  </sheetViews>
  <sheetFormatPr defaultRowHeight="15"/>
  <cols>
    <col min="1" max="19" width="20" customWidth="1"/>
  </cols>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4"/>
  <sheetViews>
    <sheetView workbookViewId="0">
      <pane ySplit="1" topLeftCell="A2" activePane="bottomLeft" state="frozen"/>
      <selection pane="bottomLeft" sqref="A1:F14"/>
    </sheetView>
  </sheetViews>
  <sheetFormatPr defaultRowHeight="15"/>
  <cols>
    <col min="1" max="19" width="20" customWidth="1"/>
  </cols>
  <sheetData>
    <row r="1" spans="1:9">
      <c r="A1" t="s">
        <v>165</v>
      </c>
      <c r="B1" t="s">
        <v>166</v>
      </c>
      <c r="C1" t="s">
        <v>167</v>
      </c>
      <c r="D1" t="s">
        <v>168</v>
      </c>
      <c r="E1" t="s">
        <v>169</v>
      </c>
      <c r="F1" t="s">
        <v>170</v>
      </c>
      <c r="H1" t="s">
        <v>328</v>
      </c>
      <c r="I1" t="s">
        <v>329</v>
      </c>
    </row>
    <row r="2" spans="1:9">
      <c r="A2" t="s">
        <v>171</v>
      </c>
      <c r="B2">
        <v>0</v>
      </c>
      <c r="C2">
        <v>0</v>
      </c>
      <c r="D2">
        <v>0</v>
      </c>
      <c r="E2">
        <v>0</v>
      </c>
      <c r="F2">
        <f>SUM(B2:E2)</f>
        <v>0</v>
      </c>
      <c r="H2">
        <f>SUM(F2:F14)</f>
        <v>0</v>
      </c>
      <c r="I2" t="b">
        <f>H2=ROUND(Allocation!B11,-2)</f>
        <v>1</v>
      </c>
    </row>
    <row r="3" spans="1:9">
      <c r="A3" t="s">
        <v>172</v>
      </c>
      <c r="B3">
        <v>0</v>
      </c>
      <c r="C3">
        <v>0</v>
      </c>
      <c r="D3">
        <v>0</v>
      </c>
      <c r="E3">
        <v>0</v>
      </c>
      <c r="F3">
        <f>SUM(B3:E3)</f>
        <v>0</v>
      </c>
    </row>
    <row r="4" spans="1:9">
      <c r="A4" t="s">
        <v>173</v>
      </c>
      <c r="B4">
        <v>0</v>
      </c>
      <c r="C4">
        <v>0</v>
      </c>
      <c r="D4">
        <v>0</v>
      </c>
      <c r="E4">
        <v>0</v>
      </c>
      <c r="F4">
        <f>SUM(B4:E4)</f>
        <v>0</v>
      </c>
    </row>
    <row r="5" spans="1:9">
      <c r="A5" t="s">
        <v>110</v>
      </c>
      <c r="B5">
        <v>0</v>
      </c>
      <c r="C5">
        <v>0</v>
      </c>
      <c r="D5">
        <v>0</v>
      </c>
      <c r="E5">
        <v>0</v>
      </c>
      <c r="F5">
        <f>SUM(B5:E5)</f>
        <v>0</v>
      </c>
    </row>
    <row r="6" spans="1:9">
      <c r="A6" t="s">
        <v>175</v>
      </c>
      <c r="B6">
        <v>0</v>
      </c>
      <c r="C6">
        <v>0</v>
      </c>
      <c r="D6">
        <v>0</v>
      </c>
      <c r="E6">
        <v>0</v>
      </c>
      <c r="F6">
        <f>SUM(B6:E6)</f>
        <v>0</v>
      </c>
    </row>
    <row r="7" spans="1:9">
      <c r="A7" t="s">
        <v>176</v>
      </c>
      <c r="B7">
        <v>0</v>
      </c>
      <c r="C7">
        <v>0</v>
      </c>
      <c r="D7">
        <v>0</v>
      </c>
      <c r="E7">
        <v>0</v>
      </c>
      <c r="F7">
        <f>SUM(B7:E7)</f>
        <v>0</v>
      </c>
    </row>
    <row r="8" spans="1:9">
      <c r="A8" t="s">
        <v>72</v>
      </c>
      <c r="B8">
        <v>0</v>
      </c>
      <c r="C8">
        <v>0</v>
      </c>
      <c r="D8">
        <v>0</v>
      </c>
      <c r="E8">
        <v>0</v>
      </c>
      <c r="F8">
        <f>SUM(B8:E8)</f>
        <v>0</v>
      </c>
    </row>
    <row r="9" spans="1:9">
      <c r="A9" t="s">
        <v>77</v>
      </c>
      <c r="B9">
        <v>0</v>
      </c>
      <c r="C9">
        <v>0</v>
      </c>
      <c r="D9">
        <v>0</v>
      </c>
      <c r="E9">
        <v>0</v>
      </c>
      <c r="F9">
        <f>SUM(B9:E9)</f>
        <v>0</v>
      </c>
    </row>
    <row r="10" spans="1:9">
      <c r="A10" t="s">
        <v>79</v>
      </c>
      <c r="B10">
        <v>0</v>
      </c>
      <c r="C10">
        <v>0</v>
      </c>
      <c r="D10">
        <v>0</v>
      </c>
      <c r="E10">
        <v>0</v>
      </c>
      <c r="F10">
        <f>SUM(B10:E10)</f>
        <v>0</v>
      </c>
    </row>
    <row r="11" spans="1:9">
      <c r="A11" t="s">
        <v>74</v>
      </c>
      <c r="B11">
        <v>0</v>
      </c>
      <c r="C11">
        <v>0</v>
      </c>
      <c r="D11">
        <v>0</v>
      </c>
      <c r="E11">
        <v>0</v>
      </c>
      <c r="F11">
        <f>SUM(B11:E11)</f>
        <v>0</v>
      </c>
    </row>
    <row r="12" spans="1:9">
      <c r="A12" t="s">
        <v>81</v>
      </c>
      <c r="B12">
        <v>0</v>
      </c>
      <c r="C12">
        <v>0</v>
      </c>
      <c r="D12">
        <v>0</v>
      </c>
      <c r="E12">
        <v>0</v>
      </c>
      <c r="F12">
        <f>SUM(B12:E12)</f>
        <v>0</v>
      </c>
    </row>
    <row r="13" spans="1:9">
      <c r="A13" t="s">
        <v>83</v>
      </c>
      <c r="B13">
        <v>0</v>
      </c>
      <c r="C13">
        <v>0</v>
      </c>
      <c r="D13">
        <v>0</v>
      </c>
      <c r="E13">
        <v>0</v>
      </c>
      <c r="F13">
        <f>SUM(B13:E13)</f>
        <v>0</v>
      </c>
    </row>
    <row r="14" spans="1:9">
      <c r="A14" t="s">
        <v>163</v>
      </c>
      <c r="B14">
        <v>0</v>
      </c>
      <c r="C14">
        <v>0</v>
      </c>
      <c r="D14">
        <v>0</v>
      </c>
      <c r="E14">
        <v>0</v>
      </c>
      <c r="F14">
        <f>SUM(B14:E14)</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7"/>
  <sheetViews>
    <sheetView workbookViewId="0">
      <pane ySplit="1" topLeftCell="A2" activePane="bottomLeft" state="frozen"/>
      <selection pane="bottomLeft"/>
    </sheetView>
  </sheetViews>
  <sheetFormatPr defaultRowHeight="15"/>
  <cols>
    <col min="1" max="19" width="20" customWidth="1"/>
  </cols>
  <sheetData>
    <row r="1" spans="1:2">
      <c r="A1" t="s">
        <v>1</v>
      </c>
      <c r="B1" t="s">
        <v>2</v>
      </c>
    </row>
    <row r="2" spans="1:2">
      <c r="A2" t="s">
        <v>328</v>
      </c>
      <c r="B2">
        <f>e!H2</f>
        <v>0</v>
      </c>
    </row>
    <row r="3" spans="1:2">
      <c r="A3" t="s">
        <v>329</v>
      </c>
      <c r="B3" t="b">
        <f>e!I2</f>
        <v>1</v>
      </c>
    </row>
    <row r="4" spans="1:2">
      <c r="A4" t="s">
        <v>330</v>
      </c>
      <c r="B4">
        <f>Allocation!B124</f>
        <v>180000</v>
      </c>
    </row>
    <row r="5" spans="1:2">
      <c r="A5" t="s">
        <v>331</v>
      </c>
      <c r="B5">
        <f>Allocation!B142</f>
        <v>300000</v>
      </c>
    </row>
    <row r="6" spans="1:2">
      <c r="A6" t="s">
        <v>332</v>
      </c>
      <c r="B6" t="str">
        <f>Allocation!B171</f>
        <v>arbitrage_plus_income</v>
      </c>
    </row>
    <row r="7" spans="1:2">
      <c r="A7" t="s">
        <v>333</v>
      </c>
      <c r="B7">
        <f>d!B13</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pane ySplit="1" topLeftCell="A2" activePane="bottomLeft" state="frozen"/>
      <selection pane="bottomLeft" activeCell="D23" sqref="D23"/>
    </sheetView>
  </sheetViews>
  <sheetFormatPr defaultRowHeight="15"/>
  <cols>
    <col min="1" max="19" width="20" customWidth="1"/>
  </cols>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pane ySplit="1" topLeftCell="A2" activePane="bottomLeft" state="frozen"/>
      <selection pane="bottomLeft" sqref="A1:E8"/>
    </sheetView>
  </sheetViews>
  <sheetFormatPr defaultRowHeight="15"/>
  <cols>
    <col min="1" max="19" width="20" customWidth="1"/>
  </cols>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pane ySplit="1" topLeftCell="A2" activePane="bottomLeft" state="frozen"/>
      <selection pane="bottomLeft" sqref="A1:B8"/>
    </sheetView>
  </sheetViews>
  <sheetFormatPr defaultRowHeight="15"/>
  <cols>
    <col min="1" max="19" width="20" customWidth="1"/>
  </cols>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2026-04-17T20:14:37Z</dcterms:created>
  <dcterms:modified xsi:type="dcterms:W3CDTF">2026-04-24T22:24:14Z</dcterms:modified>
  <cp:category/>
  <cp:contentStatus/>
</cp:coreProperties>
</file>